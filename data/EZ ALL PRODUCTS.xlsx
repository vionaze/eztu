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EZ TOPUP\final\"/>
    </mc:Choice>
  </mc:AlternateContent>
  <xr:revisionPtr revIDLastSave="0" documentId="13_ncr:1_{9379699C-E059-43EC-A5D3-B471D280D9C8}" xr6:coauthVersionLast="47" xr6:coauthVersionMax="47" xr10:uidLastSave="{00000000-0000-0000-0000-000000000000}"/>
  <bookViews>
    <workbookView xWindow="-110" yWindow="-110" windowWidth="21820" windowHeight="13000" firstSheet="8" activeTab="8" xr2:uid="{00000000-000D-0000-FFFF-FFFF00000000}"/>
  </bookViews>
  <sheets>
    <sheet name="singapore ML" sheetId="7" r:id="rId1"/>
    <sheet name="indonesia ML" sheetId="5" r:id="rId2"/>
    <sheet name="ML GLOBAL" sheetId="14" r:id="rId3"/>
    <sheet name="malaysia ml" sheetId="9" r:id="rId4"/>
    <sheet name="phillipines ML" sheetId="11" r:id="rId5"/>
    <sheet name="thailand ML" sheetId="12" r:id="rId6"/>
    <sheet name="brazil ml" sheetId="13" r:id="rId7"/>
    <sheet name="Honor of kings" sheetId="22" r:id="rId8"/>
    <sheet name="CALL OF DUTY" sheetId="20" r:id="rId9"/>
    <sheet name="STEAM" sheetId="19" r:id="rId10"/>
    <sheet name="FREE FIRE" sheetId="16" r:id="rId11"/>
    <sheet name="valorant indo only" sheetId="15" r:id="rId12"/>
    <sheet name="NINTENDO E-SHOP" sheetId="18" r:id="rId13"/>
    <sheet name="PLAYSTATION" sheetId="21" r:id="rId14"/>
    <sheet name="XBOX" sheetId="17" r:id="rId15"/>
  </sheets>
  <definedNames>
    <definedName name="_xlnm._FilterDatabase" localSheetId="6" hidden="1">'brazil ml'!$A$1:$I$1</definedName>
    <definedName name="_xlnm._FilterDatabase" localSheetId="10" hidden="1">'FREE FIRE'!$A$1:$K$1</definedName>
    <definedName name="_xlnm._FilterDatabase" localSheetId="7" hidden="1">'Honor of kings'!$A$1:$K$1</definedName>
    <definedName name="_xlnm._FilterDatabase" localSheetId="12" hidden="1">'NINTENDO E-SHOP'!$A$1:$N$8</definedName>
    <definedName name="_xlnm._FilterDatabase" localSheetId="4" hidden="1">'phillipines ML'!$A$1:$K$1</definedName>
    <definedName name="_xlnm._FilterDatabase" localSheetId="13" hidden="1">PLAYSTATION!$A$1:$L$1</definedName>
    <definedName name="_xlnm._FilterDatabase" localSheetId="0" hidden="1">'singapore ML'!$A$1:$J$1</definedName>
    <definedName name="_xlnm._FilterDatabase" localSheetId="5" hidden="1">'thailand ML'!$A$1:$I$1</definedName>
    <definedName name="_xlnm._FilterDatabase" localSheetId="14" hidden="1">XBOX!$A$1:$L$21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4" i="22" l="1"/>
  <c r="L44" i="22"/>
  <c r="N43" i="22"/>
  <c r="L43" i="22"/>
  <c r="N42" i="22"/>
  <c r="L42" i="22"/>
  <c r="N41" i="22"/>
  <c r="L41" i="22"/>
  <c r="N40" i="22"/>
  <c r="L40" i="22"/>
  <c r="N39" i="22"/>
  <c r="L39" i="22"/>
  <c r="N38" i="22"/>
  <c r="L38" i="22"/>
  <c r="N37" i="22"/>
  <c r="L37" i="22"/>
  <c r="N36" i="22"/>
  <c r="L36" i="22"/>
  <c r="N35" i="22"/>
  <c r="L35" i="22"/>
  <c r="N34" i="22"/>
  <c r="L34" i="22"/>
  <c r="N33" i="22"/>
  <c r="L33" i="22"/>
  <c r="N32" i="22"/>
  <c r="L32" i="22"/>
  <c r="N31" i="22"/>
  <c r="L31" i="22"/>
  <c r="N30" i="22"/>
  <c r="L30" i="22"/>
  <c r="N29" i="22"/>
  <c r="L29" i="22"/>
  <c r="N28" i="22"/>
  <c r="L28" i="22"/>
  <c r="N27" i="22"/>
  <c r="L27" i="22"/>
  <c r="N26" i="22"/>
  <c r="L26" i="22"/>
  <c r="N25" i="22"/>
  <c r="L25" i="22"/>
  <c r="N24" i="22"/>
  <c r="L24" i="22"/>
  <c r="N23" i="22"/>
  <c r="L23" i="22"/>
  <c r="N22" i="22"/>
  <c r="L22" i="22"/>
  <c r="N21" i="22"/>
  <c r="L21" i="22"/>
  <c r="N20" i="22"/>
  <c r="L20" i="22"/>
  <c r="N19" i="22"/>
  <c r="L19" i="22"/>
  <c r="N18" i="22"/>
  <c r="L18" i="22"/>
  <c r="N17" i="22"/>
  <c r="L17" i="22"/>
  <c r="N16" i="22"/>
  <c r="L16" i="22"/>
  <c r="N15" i="22"/>
  <c r="L15" i="22"/>
  <c r="N14" i="22"/>
  <c r="L14" i="22"/>
  <c r="N13" i="22"/>
  <c r="L13" i="22"/>
  <c r="N12" i="22"/>
  <c r="L12" i="22"/>
  <c r="N11" i="22"/>
  <c r="L11" i="22"/>
  <c r="N10" i="22"/>
  <c r="L10" i="22"/>
  <c r="N9" i="22"/>
  <c r="L9" i="22"/>
  <c r="N8" i="22"/>
  <c r="L8" i="22"/>
  <c r="N7" i="22"/>
  <c r="L7" i="22"/>
  <c r="N6" i="22"/>
  <c r="L6" i="22"/>
  <c r="N5" i="22"/>
  <c r="L5" i="22"/>
  <c r="N4" i="22"/>
  <c r="L4" i="22"/>
  <c r="N3" i="22"/>
  <c r="N2" i="22"/>
  <c r="L2" i="22"/>
  <c r="N127" i="21"/>
  <c r="L127" i="21"/>
  <c r="N126" i="21"/>
  <c r="L126" i="21"/>
  <c r="N125" i="21"/>
  <c r="L125" i="21"/>
  <c r="N124" i="21"/>
  <c r="L124" i="21"/>
  <c r="N123" i="21"/>
  <c r="L123" i="21"/>
  <c r="N122" i="21"/>
  <c r="L122" i="21"/>
  <c r="N121" i="21"/>
  <c r="L121" i="21"/>
  <c r="N120" i="21"/>
  <c r="L120" i="21"/>
  <c r="N119" i="21"/>
  <c r="L119" i="21"/>
  <c r="N118" i="21"/>
  <c r="L118" i="21"/>
  <c r="N117" i="21"/>
  <c r="L117" i="21"/>
  <c r="N116" i="21"/>
  <c r="L116" i="21"/>
  <c r="N115" i="21"/>
  <c r="L115" i="21"/>
  <c r="N114" i="21"/>
  <c r="L114" i="21"/>
  <c r="N113" i="21"/>
  <c r="L113" i="21"/>
  <c r="N112" i="21"/>
  <c r="L112" i="21"/>
  <c r="N111" i="21"/>
  <c r="L111" i="21"/>
  <c r="N110" i="21"/>
  <c r="L110" i="21"/>
  <c r="N109" i="21"/>
  <c r="L109" i="21"/>
  <c r="N108" i="21"/>
  <c r="L108" i="21"/>
  <c r="N107" i="21"/>
  <c r="L107" i="21"/>
  <c r="N106" i="21"/>
  <c r="L106" i="21"/>
  <c r="N105" i="21"/>
  <c r="L105" i="21"/>
  <c r="N104" i="21"/>
  <c r="L104" i="21"/>
  <c r="N103" i="21"/>
  <c r="L103" i="21"/>
  <c r="N102" i="21"/>
  <c r="L102" i="21"/>
  <c r="N101" i="21"/>
  <c r="L101" i="21"/>
  <c r="N100" i="21"/>
  <c r="L100" i="21"/>
  <c r="N99" i="21"/>
  <c r="L99" i="21"/>
  <c r="N98" i="21"/>
  <c r="L98" i="21"/>
  <c r="N97" i="21"/>
  <c r="L97" i="21"/>
  <c r="N96" i="21"/>
  <c r="L96" i="21"/>
  <c r="N95" i="21"/>
  <c r="L95" i="21"/>
  <c r="N94" i="21"/>
  <c r="L94" i="21"/>
  <c r="N93" i="21"/>
  <c r="L93" i="21"/>
  <c r="N92" i="21"/>
  <c r="L92" i="21"/>
  <c r="N91" i="21"/>
  <c r="L91" i="21"/>
  <c r="N90" i="21"/>
  <c r="L90" i="21"/>
  <c r="N89" i="21"/>
  <c r="L89" i="21"/>
  <c r="N88" i="21"/>
  <c r="L88" i="21"/>
  <c r="N87" i="21"/>
  <c r="L87" i="21"/>
  <c r="N86" i="21"/>
  <c r="L86" i="21"/>
  <c r="N85" i="21"/>
  <c r="L85" i="21"/>
  <c r="N84" i="21"/>
  <c r="L84" i="21"/>
  <c r="N83" i="21"/>
  <c r="L83" i="21"/>
  <c r="N82" i="21"/>
  <c r="L82" i="21"/>
  <c r="N81" i="21"/>
  <c r="L81" i="21"/>
  <c r="N80" i="21"/>
  <c r="L80" i="21"/>
  <c r="N79" i="21"/>
  <c r="L79" i="21"/>
  <c r="N78" i="21"/>
  <c r="L78" i="21"/>
  <c r="N77" i="21"/>
  <c r="L77" i="21"/>
  <c r="N76" i="21"/>
  <c r="L76" i="21"/>
  <c r="N75" i="21"/>
  <c r="L75" i="21"/>
  <c r="N74" i="21"/>
  <c r="L74" i="21"/>
  <c r="N73" i="21"/>
  <c r="L73" i="21"/>
  <c r="N72" i="21"/>
  <c r="L72" i="21"/>
  <c r="N71" i="21"/>
  <c r="L71" i="21"/>
  <c r="N70" i="21"/>
  <c r="L70" i="21"/>
  <c r="N69" i="21"/>
  <c r="L69" i="21"/>
  <c r="N68" i="21"/>
  <c r="L68" i="21"/>
  <c r="N67" i="21"/>
  <c r="L67" i="21"/>
  <c r="N66" i="21"/>
  <c r="L66" i="21"/>
  <c r="N65" i="21"/>
  <c r="L65" i="21"/>
  <c r="N64" i="21"/>
  <c r="L64" i="21"/>
  <c r="N63" i="21"/>
  <c r="L63" i="21"/>
  <c r="N62" i="21"/>
  <c r="L62" i="21"/>
  <c r="N61" i="21"/>
  <c r="L61" i="21"/>
  <c r="N60" i="21"/>
  <c r="L60" i="21"/>
  <c r="N59" i="21"/>
  <c r="L59" i="21"/>
  <c r="N58" i="21"/>
  <c r="L58" i="21"/>
  <c r="N57" i="21"/>
  <c r="L57" i="21"/>
  <c r="N56" i="21"/>
  <c r="L56" i="21"/>
  <c r="N55" i="21"/>
  <c r="L55" i="21"/>
  <c r="N54" i="21"/>
  <c r="L54" i="21"/>
  <c r="N53" i="21"/>
  <c r="L53" i="21"/>
  <c r="N52" i="21"/>
  <c r="L52" i="21"/>
  <c r="N51" i="21"/>
  <c r="L51" i="21"/>
  <c r="N50" i="21"/>
  <c r="L50" i="21"/>
  <c r="N49" i="21"/>
  <c r="H49" i="21"/>
  <c r="L49" i="21" s="1"/>
  <c r="N48" i="21"/>
  <c r="L48" i="21"/>
  <c r="N47" i="21"/>
  <c r="L47" i="21"/>
  <c r="N46" i="21"/>
  <c r="L46" i="21"/>
  <c r="N45" i="21"/>
  <c r="L45" i="21"/>
  <c r="N44" i="21"/>
  <c r="L44" i="21"/>
  <c r="N43" i="21"/>
  <c r="L43" i="21"/>
  <c r="N42" i="21"/>
  <c r="L42" i="21"/>
  <c r="N41" i="21"/>
  <c r="L41" i="21"/>
  <c r="N40" i="21"/>
  <c r="L40" i="21"/>
  <c r="N39" i="21"/>
  <c r="L39" i="21"/>
  <c r="N38" i="21"/>
  <c r="L38" i="21"/>
  <c r="N37" i="21"/>
  <c r="L37" i="21"/>
  <c r="N36" i="21"/>
  <c r="L36" i="21"/>
  <c r="N35" i="21"/>
  <c r="L35" i="21"/>
  <c r="N34" i="21"/>
  <c r="L34" i="21"/>
  <c r="N33" i="21"/>
  <c r="L33" i="21"/>
  <c r="N32" i="21"/>
  <c r="L32" i="21"/>
  <c r="N31" i="21"/>
  <c r="L31" i="21"/>
  <c r="N30" i="21"/>
  <c r="L30" i="21"/>
  <c r="N29" i="21"/>
  <c r="L29" i="21"/>
  <c r="N28" i="21"/>
  <c r="L28" i="21"/>
  <c r="N27" i="21"/>
  <c r="L27" i="21"/>
  <c r="N26" i="21"/>
  <c r="L26" i="21"/>
  <c r="N25" i="21"/>
  <c r="L25" i="21"/>
  <c r="N24" i="21"/>
  <c r="L24" i="21"/>
  <c r="N23" i="21"/>
  <c r="L23" i="21"/>
  <c r="N22" i="21"/>
  <c r="L22" i="21"/>
  <c r="N21" i="21"/>
  <c r="H21" i="21"/>
  <c r="L21" i="21" s="1"/>
  <c r="N20" i="21"/>
  <c r="L20" i="21"/>
  <c r="N19" i="21"/>
  <c r="L19" i="21"/>
  <c r="N18" i="21"/>
  <c r="L18" i="21"/>
  <c r="N17" i="21"/>
  <c r="L17" i="21"/>
  <c r="N16" i="21"/>
  <c r="L16" i="21"/>
  <c r="N15" i="21"/>
  <c r="L15" i="21"/>
  <c r="N14" i="21"/>
  <c r="L14" i="21"/>
  <c r="N13" i="21"/>
  <c r="L13" i="21"/>
  <c r="N12" i="21"/>
  <c r="L12" i="21"/>
  <c r="N11" i="21"/>
  <c r="L11" i="21"/>
  <c r="N10" i="21"/>
  <c r="L10" i="21"/>
  <c r="N9" i="21"/>
  <c r="L9" i="21"/>
  <c r="N8" i="21"/>
  <c r="L8" i="21"/>
  <c r="H8" i="21"/>
  <c r="N7" i="21"/>
  <c r="H7" i="21"/>
  <c r="L7" i="21" s="1"/>
  <c r="N6" i="21"/>
  <c r="L6" i="21"/>
  <c r="N5" i="21"/>
  <c r="L5" i="21"/>
  <c r="N4" i="21"/>
  <c r="L4" i="21"/>
  <c r="N3" i="21"/>
  <c r="L3" i="21"/>
  <c r="N2" i="21"/>
  <c r="L2" i="21"/>
  <c r="N56" i="20"/>
  <c r="L56" i="20"/>
  <c r="N55" i="20"/>
  <c r="L55" i="20"/>
  <c r="N54" i="20"/>
  <c r="L54" i="20"/>
  <c r="N53" i="20"/>
  <c r="L53" i="20"/>
  <c r="N52" i="20"/>
  <c r="L52" i="20"/>
  <c r="N51" i="20"/>
  <c r="L51" i="20"/>
  <c r="N50" i="20"/>
  <c r="L50" i="20"/>
  <c r="N49" i="20"/>
  <c r="L49" i="20"/>
  <c r="N48" i="20"/>
  <c r="L48" i="20"/>
  <c r="N47" i="20"/>
  <c r="L47" i="20"/>
  <c r="N46" i="20"/>
  <c r="L46" i="20"/>
  <c r="N45" i="20"/>
  <c r="L45" i="20"/>
  <c r="N44" i="20"/>
  <c r="L44" i="20"/>
  <c r="N43" i="20"/>
  <c r="L43" i="20"/>
  <c r="N42" i="20"/>
  <c r="L42" i="20"/>
  <c r="N41" i="20"/>
  <c r="L41" i="20"/>
  <c r="N40" i="20"/>
  <c r="L40" i="20"/>
  <c r="N39" i="20"/>
  <c r="L39" i="20"/>
  <c r="N38" i="20"/>
  <c r="L38" i="20"/>
  <c r="N37" i="20"/>
  <c r="L37" i="20"/>
  <c r="N36" i="20"/>
  <c r="L36" i="20"/>
  <c r="N35" i="20"/>
  <c r="L35" i="20"/>
  <c r="N34" i="20"/>
  <c r="L34" i="20"/>
  <c r="N33" i="20"/>
  <c r="L33" i="20"/>
  <c r="N32" i="20"/>
  <c r="L32" i="20"/>
  <c r="N31" i="20"/>
  <c r="L31" i="20"/>
  <c r="N30" i="20"/>
  <c r="L30" i="20"/>
  <c r="N29" i="20"/>
  <c r="L29" i="20"/>
  <c r="N28" i="20"/>
  <c r="L28" i="20"/>
  <c r="N27" i="20"/>
  <c r="L27" i="20"/>
  <c r="N26" i="20"/>
  <c r="L26" i="20"/>
  <c r="N25" i="20"/>
  <c r="L25" i="20"/>
  <c r="N24" i="20"/>
  <c r="L24" i="20"/>
  <c r="N23" i="20"/>
  <c r="L23" i="20"/>
  <c r="N22" i="20"/>
  <c r="L22" i="20"/>
  <c r="N21" i="20"/>
  <c r="L21" i="20"/>
  <c r="N20" i="20"/>
  <c r="L20" i="20"/>
  <c r="N19" i="20"/>
  <c r="L19" i="20"/>
  <c r="N18" i="20"/>
  <c r="L18" i="20"/>
  <c r="N17" i="20"/>
  <c r="L17" i="20"/>
  <c r="N16" i="20"/>
  <c r="L16" i="20"/>
  <c r="N15" i="20"/>
  <c r="L15" i="20"/>
  <c r="N14" i="20"/>
  <c r="L14" i="20"/>
  <c r="N13" i="20"/>
  <c r="L13" i="20"/>
  <c r="N12" i="20"/>
  <c r="L12" i="20"/>
  <c r="N11" i="20"/>
  <c r="L11" i="20"/>
  <c r="N10" i="20"/>
  <c r="L10" i="20"/>
  <c r="N9" i="20"/>
  <c r="L9" i="20"/>
  <c r="N8" i="20"/>
  <c r="L8" i="20"/>
  <c r="N7" i="20"/>
  <c r="L7" i="20"/>
  <c r="N6" i="20"/>
  <c r="L6" i="20"/>
  <c r="N5" i="20"/>
  <c r="L5" i="20"/>
  <c r="N4" i="20"/>
  <c r="L4" i="20"/>
  <c r="N3" i="20"/>
  <c r="L3" i="20"/>
  <c r="N2" i="20"/>
  <c r="L2" i="20"/>
  <c r="N150" i="19"/>
  <c r="L150" i="19"/>
  <c r="N149" i="19"/>
  <c r="L149" i="19"/>
  <c r="N148" i="19"/>
  <c r="L148" i="19"/>
  <c r="N147" i="19"/>
  <c r="L147" i="19"/>
  <c r="N146" i="19"/>
  <c r="L146" i="19"/>
  <c r="N145" i="19"/>
  <c r="L145" i="19"/>
  <c r="N144" i="19"/>
  <c r="L144" i="19"/>
  <c r="N143" i="19"/>
  <c r="L143" i="19"/>
  <c r="N142" i="19"/>
  <c r="L142" i="19"/>
  <c r="N141" i="19"/>
  <c r="L141" i="19"/>
  <c r="N140" i="19"/>
  <c r="L140" i="19"/>
  <c r="N139" i="19"/>
  <c r="L139" i="19"/>
  <c r="N138" i="19"/>
  <c r="L138" i="19"/>
  <c r="N137" i="19"/>
  <c r="L137" i="19"/>
  <c r="N136" i="19"/>
  <c r="L136" i="19"/>
  <c r="N135" i="19"/>
  <c r="L135" i="19"/>
  <c r="N134" i="19"/>
  <c r="L134" i="19"/>
  <c r="N133" i="19"/>
  <c r="L133" i="19"/>
  <c r="N132" i="19"/>
  <c r="L132" i="19"/>
  <c r="N131" i="19"/>
  <c r="L131" i="19"/>
  <c r="N130" i="19"/>
  <c r="L130" i="19"/>
  <c r="N129" i="19"/>
  <c r="L129" i="19"/>
  <c r="N128" i="19"/>
  <c r="L128" i="19"/>
  <c r="N127" i="19"/>
  <c r="L127" i="19"/>
  <c r="N126" i="19"/>
  <c r="L126" i="19"/>
  <c r="N125" i="19"/>
  <c r="L125" i="19"/>
  <c r="N124" i="19"/>
  <c r="L124" i="19"/>
  <c r="N123" i="19"/>
  <c r="L123" i="19"/>
  <c r="N122" i="19"/>
  <c r="L122" i="19"/>
  <c r="N121" i="19"/>
  <c r="L121" i="19"/>
  <c r="N120" i="19"/>
  <c r="L120" i="19"/>
  <c r="N119" i="19"/>
  <c r="L119" i="19"/>
  <c r="N118" i="19"/>
  <c r="L118" i="19"/>
  <c r="N117" i="19"/>
  <c r="L117" i="19"/>
  <c r="N116" i="19"/>
  <c r="L116" i="19"/>
  <c r="N115" i="19"/>
  <c r="L115" i="19"/>
  <c r="N114" i="19"/>
  <c r="L114" i="19"/>
  <c r="N113" i="19"/>
  <c r="L113" i="19"/>
  <c r="N112" i="19"/>
  <c r="L112" i="19"/>
  <c r="N111" i="19"/>
  <c r="L111" i="19"/>
  <c r="N110" i="19"/>
  <c r="L110" i="19"/>
  <c r="N109" i="19"/>
  <c r="L109" i="19"/>
  <c r="N108" i="19"/>
  <c r="L108" i="19"/>
  <c r="N107" i="19"/>
  <c r="L107" i="19"/>
  <c r="N106" i="19"/>
  <c r="L106" i="19"/>
  <c r="N105" i="19"/>
  <c r="L105" i="19"/>
  <c r="N104" i="19"/>
  <c r="L104" i="19"/>
  <c r="N103" i="19"/>
  <c r="L103" i="19"/>
  <c r="N102" i="19"/>
  <c r="L102" i="19"/>
  <c r="N101" i="19"/>
  <c r="L101" i="19"/>
  <c r="N100" i="19"/>
  <c r="L100" i="19"/>
  <c r="N99" i="19"/>
  <c r="L99" i="19"/>
  <c r="N98" i="19"/>
  <c r="L98" i="19"/>
  <c r="N97" i="19"/>
  <c r="L97" i="19"/>
  <c r="N96" i="19"/>
  <c r="L96" i="19"/>
  <c r="N95" i="19"/>
  <c r="L95" i="19"/>
  <c r="N94" i="19"/>
  <c r="L94" i="19"/>
  <c r="N93" i="19"/>
  <c r="L93" i="19"/>
  <c r="N92" i="19"/>
  <c r="L92" i="19"/>
  <c r="N91" i="19"/>
  <c r="L91" i="19"/>
  <c r="N90" i="19"/>
  <c r="L90" i="19"/>
  <c r="N89" i="19"/>
  <c r="L89" i="19"/>
  <c r="N88" i="19"/>
  <c r="L88" i="19"/>
  <c r="N87" i="19"/>
  <c r="L87" i="19"/>
  <c r="N86" i="19"/>
  <c r="L86" i="19"/>
  <c r="N85" i="19"/>
  <c r="L85" i="19"/>
  <c r="N84" i="19"/>
  <c r="L84" i="19"/>
  <c r="N83" i="19"/>
  <c r="L83" i="19"/>
  <c r="N82" i="19"/>
  <c r="L82" i="19"/>
  <c r="N81" i="19"/>
  <c r="L81" i="19"/>
  <c r="N80" i="19"/>
  <c r="L80" i="19"/>
  <c r="N79" i="19"/>
  <c r="L79" i="19"/>
  <c r="N78" i="19"/>
  <c r="L78" i="19"/>
  <c r="N77" i="19"/>
  <c r="L77" i="19"/>
  <c r="N76" i="19"/>
  <c r="L76" i="19"/>
  <c r="N75" i="19"/>
  <c r="L75" i="19"/>
  <c r="N74" i="19"/>
  <c r="L74" i="19"/>
  <c r="N73" i="19"/>
  <c r="L73" i="19"/>
  <c r="N72" i="19"/>
  <c r="L72" i="19"/>
  <c r="N71" i="19"/>
  <c r="L71" i="19"/>
  <c r="N70" i="19"/>
  <c r="L70" i="19"/>
  <c r="N69" i="19"/>
  <c r="L69" i="19"/>
  <c r="N68" i="19"/>
  <c r="L68" i="19"/>
  <c r="N67" i="19"/>
  <c r="L67" i="19"/>
  <c r="N66" i="19"/>
  <c r="L66" i="19"/>
  <c r="N65" i="19"/>
  <c r="L65" i="19"/>
  <c r="N64" i="19"/>
  <c r="L64" i="19"/>
  <c r="N63" i="19"/>
  <c r="L63" i="19"/>
  <c r="N62" i="19"/>
  <c r="L62" i="19"/>
  <c r="N61" i="19"/>
  <c r="L61" i="19"/>
  <c r="N60" i="19"/>
  <c r="L60" i="19"/>
  <c r="N59" i="19"/>
  <c r="L59" i="19"/>
  <c r="N58" i="19"/>
  <c r="L58" i="19"/>
  <c r="N57" i="19"/>
  <c r="L57" i="19"/>
  <c r="N56" i="19"/>
  <c r="L56" i="19"/>
  <c r="N55" i="19"/>
  <c r="L55" i="19"/>
  <c r="N54" i="19"/>
  <c r="L54" i="19"/>
  <c r="N53" i="19"/>
  <c r="L53" i="19"/>
  <c r="N52" i="19"/>
  <c r="L52" i="19"/>
  <c r="N51" i="19"/>
  <c r="L51" i="19"/>
  <c r="N50" i="19"/>
  <c r="L50" i="19"/>
  <c r="N49" i="19"/>
  <c r="L49" i="19"/>
  <c r="N48" i="19"/>
  <c r="L48" i="19"/>
  <c r="N47" i="19"/>
  <c r="L47" i="19"/>
  <c r="N46" i="19"/>
  <c r="L46" i="19"/>
  <c r="N45" i="19"/>
  <c r="L45" i="19"/>
  <c r="N44" i="19"/>
  <c r="L44" i="19"/>
  <c r="N43" i="19"/>
  <c r="L43" i="19"/>
  <c r="N42" i="19"/>
  <c r="L42" i="19"/>
  <c r="N41" i="19"/>
  <c r="L41" i="19"/>
  <c r="N40" i="19"/>
  <c r="L40" i="19"/>
  <c r="N39" i="19"/>
  <c r="L39" i="19"/>
  <c r="N38" i="19"/>
  <c r="L38" i="19"/>
  <c r="N37" i="19"/>
  <c r="L37" i="19"/>
  <c r="N36" i="19"/>
  <c r="L36" i="19"/>
  <c r="N35" i="19"/>
  <c r="L35" i="19"/>
  <c r="N34" i="19"/>
  <c r="L34" i="19"/>
  <c r="N33" i="19"/>
  <c r="L33" i="19"/>
  <c r="N32" i="19"/>
  <c r="L32" i="19"/>
  <c r="N31" i="19"/>
  <c r="L31" i="19"/>
  <c r="N30" i="19"/>
  <c r="L30" i="19"/>
  <c r="N29" i="19"/>
  <c r="L29" i="19"/>
  <c r="N28" i="19"/>
  <c r="L28" i="19"/>
  <c r="N27" i="19"/>
  <c r="L27" i="19"/>
  <c r="N26" i="19"/>
  <c r="L26" i="19"/>
  <c r="N25" i="19"/>
  <c r="L25" i="19"/>
  <c r="N24" i="19"/>
  <c r="L24" i="19"/>
  <c r="N23" i="19"/>
  <c r="L23" i="19"/>
  <c r="N22" i="19"/>
  <c r="L22" i="19"/>
  <c r="N21" i="19"/>
  <c r="L21" i="19"/>
  <c r="N20" i="19"/>
  <c r="L20" i="19"/>
  <c r="N19" i="19"/>
  <c r="L19" i="19"/>
  <c r="N18" i="19"/>
  <c r="L18" i="19"/>
  <c r="N17" i="19"/>
  <c r="L17" i="19"/>
  <c r="N16" i="19"/>
  <c r="L16" i="19"/>
  <c r="N15" i="19"/>
  <c r="L15" i="19"/>
  <c r="N14" i="19"/>
  <c r="L14" i="19"/>
  <c r="N13" i="19"/>
  <c r="L13" i="19"/>
  <c r="N12" i="19"/>
  <c r="L12" i="19"/>
  <c r="N11" i="19"/>
  <c r="L11" i="19"/>
  <c r="N10" i="19"/>
  <c r="L10" i="19"/>
  <c r="N9" i="19"/>
  <c r="L9" i="19"/>
  <c r="N8" i="19"/>
  <c r="L8" i="19"/>
  <c r="N7" i="19"/>
  <c r="L7" i="19"/>
  <c r="N6" i="19"/>
  <c r="L6" i="19"/>
  <c r="N5" i="19"/>
  <c r="L5" i="19"/>
  <c r="N4" i="19"/>
  <c r="L4" i="19"/>
  <c r="N3" i="19"/>
  <c r="L3" i="19"/>
  <c r="N2" i="19"/>
  <c r="L2" i="19"/>
  <c r="N8" i="18"/>
  <c r="L8" i="18"/>
  <c r="N7" i="18"/>
  <c r="L7" i="18"/>
  <c r="N6" i="18"/>
  <c r="L6" i="18"/>
  <c r="N5" i="18"/>
  <c r="L5" i="18"/>
  <c r="N4" i="18"/>
  <c r="L4" i="18"/>
  <c r="N3" i="18"/>
  <c r="L3" i="18"/>
  <c r="N2" i="18"/>
  <c r="L2" i="18"/>
  <c r="L21" i="17"/>
  <c r="M20" i="17"/>
  <c r="L19" i="17"/>
  <c r="L18" i="17"/>
  <c r="L17" i="17"/>
  <c r="L16" i="17"/>
  <c r="M15" i="17"/>
  <c r="M14" i="17"/>
  <c r="M13" i="17"/>
  <c r="L12" i="17"/>
  <c r="L11" i="17"/>
  <c r="M10" i="17"/>
  <c r="L9" i="17"/>
  <c r="L8" i="17"/>
  <c r="M7" i="17"/>
  <c r="L6" i="17"/>
  <c r="M5" i="17"/>
  <c r="L4" i="17"/>
  <c r="M3" i="17"/>
  <c r="L2" i="17"/>
  <c r="J72" i="16"/>
  <c r="J71" i="16"/>
  <c r="J70" i="16"/>
  <c r="J69" i="16"/>
  <c r="J68" i="16"/>
  <c r="J67" i="16"/>
  <c r="J66" i="16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N29" i="16"/>
  <c r="M29" i="16"/>
  <c r="L29" i="16"/>
  <c r="N28" i="16"/>
  <c r="M28" i="16"/>
  <c r="L28" i="16"/>
  <c r="N27" i="16"/>
  <c r="M27" i="16"/>
  <c r="L27" i="16"/>
  <c r="N26" i="16"/>
  <c r="M26" i="16"/>
  <c r="L26" i="16"/>
  <c r="N25" i="16"/>
  <c r="M25" i="16"/>
  <c r="L25" i="16"/>
  <c r="N24" i="16"/>
  <c r="M24" i="16"/>
  <c r="L24" i="16"/>
  <c r="N23" i="16"/>
  <c r="M23" i="16"/>
  <c r="L23" i="16"/>
  <c r="N22" i="16"/>
  <c r="M22" i="16"/>
  <c r="L22" i="16"/>
  <c r="N21" i="16"/>
  <c r="M21" i="16"/>
  <c r="L21" i="16"/>
  <c r="N20" i="16"/>
  <c r="M20" i="16"/>
  <c r="L20" i="16"/>
  <c r="N19" i="16"/>
  <c r="M19" i="16"/>
  <c r="L19" i="16"/>
  <c r="N18" i="16"/>
  <c r="M18" i="16"/>
  <c r="L18" i="16"/>
  <c r="N17" i="16"/>
  <c r="M17" i="16"/>
  <c r="L17" i="16"/>
  <c r="N16" i="16"/>
  <c r="M16" i="16"/>
  <c r="L16" i="16"/>
  <c r="N15" i="16"/>
  <c r="M15" i="16"/>
  <c r="L15" i="16"/>
  <c r="N14" i="16"/>
  <c r="M14" i="16"/>
  <c r="L14" i="16"/>
  <c r="N13" i="16"/>
  <c r="M13" i="16"/>
  <c r="L13" i="16"/>
  <c r="N12" i="16"/>
  <c r="M12" i="16"/>
  <c r="L12" i="16"/>
  <c r="N11" i="16"/>
  <c r="M11" i="16"/>
  <c r="L11" i="16"/>
  <c r="N10" i="16"/>
  <c r="M10" i="16"/>
  <c r="L10" i="16"/>
  <c r="N9" i="16"/>
  <c r="M9" i="16"/>
  <c r="L9" i="16"/>
  <c r="N8" i="16"/>
  <c r="M8" i="16"/>
  <c r="L8" i="16"/>
  <c r="N7" i="16"/>
  <c r="M7" i="16"/>
  <c r="L7" i="16"/>
  <c r="N6" i="16"/>
  <c r="M6" i="16"/>
  <c r="L6" i="16"/>
  <c r="N5" i="16"/>
  <c r="M5" i="16"/>
  <c r="L5" i="16"/>
  <c r="N4" i="16"/>
  <c r="M4" i="16"/>
  <c r="L4" i="16"/>
  <c r="N3" i="16"/>
  <c r="M3" i="16"/>
  <c r="L3" i="16"/>
  <c r="N2" i="16"/>
  <c r="M2" i="16"/>
  <c r="L2" i="16"/>
  <c r="J6" i="9"/>
  <c r="J7" i="9"/>
  <c r="J8" i="9"/>
  <c r="J9" i="9"/>
  <c r="J10" i="9"/>
  <c r="J11" i="9"/>
  <c r="J12" i="9"/>
  <c r="J13" i="9"/>
  <c r="J14" i="9"/>
  <c r="J15" i="9"/>
  <c r="J16" i="9"/>
  <c r="J17" i="9"/>
  <c r="J5" i="9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" i="12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2" i="11"/>
  <c r="H5" i="9"/>
  <c r="H6" i="9"/>
  <c r="H7" i="9"/>
  <c r="H8" i="9"/>
  <c r="H9" i="9"/>
  <c r="H10" i="9"/>
  <c r="H11" i="9"/>
  <c r="H12" i="9"/>
  <c r="H13" i="9"/>
  <c r="H14" i="9"/>
  <c r="H15" i="9"/>
  <c r="H16" i="9"/>
  <c r="H2" i="7"/>
  <c r="H3" i="7"/>
  <c r="H4" i="7"/>
  <c r="H5" i="7"/>
  <c r="H6" i="7"/>
  <c r="H7" i="7"/>
  <c r="H8" i="7"/>
  <c r="H9" i="7"/>
  <c r="H10" i="7"/>
  <c r="H11" i="7"/>
  <c r="H12" i="7"/>
  <c r="F3" i="5"/>
  <c r="F4" i="5"/>
  <c r="F6" i="5"/>
  <c r="F5" i="5"/>
  <c r="F7" i="5"/>
  <c r="F8" i="5"/>
  <c r="F9" i="5"/>
  <c r="F10" i="5"/>
  <c r="F11" i="5"/>
  <c r="F12" i="5"/>
  <c r="F13" i="5"/>
  <c r="F14" i="5"/>
  <c r="F15" i="5"/>
  <c r="F16" i="5"/>
  <c r="F8" i="7" l="1"/>
  <c r="F12" i="7"/>
  <c r="F3" i="7"/>
  <c r="F10" i="7"/>
  <c r="F4" i="7"/>
  <c r="F6" i="7"/>
  <c r="F9" i="7"/>
  <c r="F7" i="7"/>
  <c r="F2" i="7"/>
  <c r="F11" i="7"/>
  <c r="F5" i="7"/>
</calcChain>
</file>

<file path=xl/sharedStrings.xml><?xml version="1.0" encoding="utf-8"?>
<sst xmlns="http://schemas.openxmlformats.org/spreadsheetml/2006/main" count="5453" uniqueCount="1714">
  <si>
    <t>Country</t>
  </si>
  <si>
    <t>Category Code</t>
  </si>
  <si>
    <t>Category Name</t>
  </si>
  <si>
    <t>Variant</t>
  </si>
  <si>
    <t>Group Product Code</t>
  </si>
  <si>
    <t>Product Code</t>
  </si>
  <si>
    <t>Product Name</t>
  </si>
  <si>
    <t>Recommended Price</t>
  </si>
  <si>
    <t>Reseller Price</t>
  </si>
  <si>
    <t>Status</t>
  </si>
  <si>
    <t>SLA In Mins</t>
  </si>
  <si>
    <t>DIGITAL</t>
  </si>
  <si>
    <t>available</t>
  </si>
  <si>
    <t>INSTANT</t>
  </si>
  <si>
    <t>Philippines</t>
  </si>
  <si>
    <t>Brazil</t>
  </si>
  <si>
    <t>Malaysia</t>
  </si>
  <si>
    <t>Thailand</t>
  </si>
  <si>
    <t>Singapore</t>
  </si>
  <si>
    <t>61754</t>
  </si>
  <si>
    <t>257 Diamonds ( 234 + 23 Bonus )</t>
  </si>
  <si>
    <t>Weekly Diamond Pass</t>
  </si>
  <si>
    <t>14 Diamonds ( 13 + 1 Bonus )</t>
  </si>
  <si>
    <t>86 Diamonds ( 78 + 8 Bonus )</t>
  </si>
  <si>
    <t>11 Diamonds ( 10 + 1 Bonus )</t>
  </si>
  <si>
    <t>22 Diamonds ( 20 + 2 Bonus )</t>
  </si>
  <si>
    <t>56 Diamonds ( 51 + 5 Bonus )</t>
  </si>
  <si>
    <t>112 Diamonds ( 102 + 10 Bonus )</t>
  </si>
  <si>
    <t>336 Diamonds ( 303 + 33 Bonus )</t>
  </si>
  <si>
    <t>570 Diamonds ( 504 + 66 Bonus )</t>
  </si>
  <si>
    <t>1163 Diamonds ( 1007 + 156 Bonus )</t>
  </si>
  <si>
    <t>2398 Diamonds ( 2015 + 383 Bonus )</t>
  </si>
  <si>
    <t>6042 Diamonds ( 5035 + 1007 Bonus )</t>
  </si>
  <si>
    <t>44 Diamonds ( 40 + 4 Bonus )</t>
  </si>
  <si>
    <t>59 Diamonds ( 53 + 6 Bonus )</t>
  </si>
  <si>
    <t>85 Diamonds ( 77 + 8 Bonus )</t>
  </si>
  <si>
    <t>170 Diamonds ( 154 + 16 Bonus )</t>
  </si>
  <si>
    <t>240 Diamonds ( 217 + 23 Bonus )</t>
  </si>
  <si>
    <t>296 Diamonds ( 256 + 40 Bonus )</t>
  </si>
  <si>
    <t>568 Diamonds ( 503 + 65 Bonus )</t>
  </si>
  <si>
    <t>875 Diamonds ( 774 + 101 Bonus )</t>
  </si>
  <si>
    <t>2010 Diamonds ( 1708 + 302 Bonus )</t>
  </si>
  <si>
    <t>70 Diamonds ( 64 + 6 Bonus )</t>
  </si>
  <si>
    <t>140 Diamonds ( 127 + 13 Bonus )</t>
  </si>
  <si>
    <t>284 Diamonds ( 254 + 30 Bonus )</t>
  </si>
  <si>
    <t>429 Diamonds ( 383 + 46 Bonus )</t>
  </si>
  <si>
    <t>716 Diamonds ( 633 + 83 Bonus )</t>
  </si>
  <si>
    <t>ML</t>
  </si>
  <si>
    <t>Mobile Legends</t>
  </si>
  <si>
    <t>MLWEEKLYDIAMONDPASS5-S11-my</t>
  </si>
  <si>
    <t>Weekly Diamond Pass x5</t>
  </si>
  <si>
    <t>176520</t>
  </si>
  <si>
    <t>MLWEEKLYDIAMONDPASS-S1-my</t>
  </si>
  <si>
    <t>35313</t>
  </si>
  <si>
    <t>ML168</t>
  </si>
  <si>
    <t>168 Diamonds ( 153 + 15 Bonus )</t>
  </si>
  <si>
    <t>MLWEEKLYDIAMONDPASS-S11-my</t>
  </si>
  <si>
    <t>35304</t>
  </si>
  <si>
    <t>344 Diamonds ( 312 + 32 Bonus )</t>
  </si>
  <si>
    <t>429 Diamonds ( 390 + 39 Bonus )</t>
  </si>
  <si>
    <t>ML10_1</t>
  </si>
  <si>
    <t>MLTL</t>
  </si>
  <si>
    <t>Twilight Pass</t>
  </si>
  <si>
    <t>513 Diamond (460 + 53 Bonus)</t>
  </si>
  <si>
    <t>135356</t>
  </si>
  <si>
    <t>ML78_8</t>
  </si>
  <si>
    <t>MLTL-S1-br</t>
  </si>
  <si>
    <t>138475</t>
  </si>
  <si>
    <t>MLTL-S1A</t>
  </si>
  <si>
    <t>ML10_1-S1A-ph</t>
  </si>
  <si>
    <t>2707</t>
  </si>
  <si>
    <t>ML10_1-S1-th</t>
  </si>
  <si>
    <t>2863</t>
  </si>
  <si>
    <t>ML13_1-S1-my</t>
  </si>
  <si>
    <t>4123</t>
  </si>
  <si>
    <t>8246</t>
  </si>
  <si>
    <t>ML15_2-S121</t>
  </si>
  <si>
    <t>17 Diamonds ( 15 + 2 Bonus )</t>
  </si>
  <si>
    <t>ML20_2</t>
  </si>
  <si>
    <t>ML20_2-S1-th</t>
  </si>
  <si>
    <t>5647</t>
  </si>
  <si>
    <t>ML20_2-S1A-ph</t>
  </si>
  <si>
    <t>5414</t>
  </si>
  <si>
    <t>28 Diamonds ( 26 + 2 Bonus )</t>
  </si>
  <si>
    <t>ML26_2-S1-my</t>
  </si>
  <si>
    <t>33 Diamonds ( 30 + 3 Bonus )</t>
  </si>
  <si>
    <t>ML30_3-S121</t>
  </si>
  <si>
    <t>ML40_4-S1A</t>
  </si>
  <si>
    <t>50 Diamonds ( 45 + 5 Bonus )</t>
  </si>
  <si>
    <t>ML45_5-S121</t>
  </si>
  <si>
    <t>ML51_5</t>
  </si>
  <si>
    <t>ML51_5-S1-sg</t>
  </si>
  <si>
    <t>16536</t>
  </si>
  <si>
    <t>ML51_5-S1-th</t>
  </si>
  <si>
    <t>14072</t>
  </si>
  <si>
    <t>ML51_5-S1A-ph</t>
  </si>
  <si>
    <t>13536</t>
  </si>
  <si>
    <t>ML53_6-S1A</t>
  </si>
  <si>
    <t>ML64_6-S11-my</t>
  </si>
  <si>
    <t>20568</t>
  </si>
  <si>
    <t>ML77_8-S1A</t>
  </si>
  <si>
    <t>ML78_8-S1-br</t>
  </si>
  <si>
    <t>20973</t>
  </si>
  <si>
    <t>ML78_8-S1-th</t>
  </si>
  <si>
    <t>21287</t>
  </si>
  <si>
    <t>ML102_10</t>
  </si>
  <si>
    <t>ML102_10-S1A-ph</t>
  </si>
  <si>
    <t>27071</t>
  </si>
  <si>
    <t>112 Diamond ( 102 + 10 Bonus )</t>
  </si>
  <si>
    <t>ML112-S11-sg</t>
  </si>
  <si>
    <t>32989</t>
  </si>
  <si>
    <t>ML102_10-S1-th</t>
  </si>
  <si>
    <t>28188</t>
  </si>
  <si>
    <t>ML127_13-S1-my</t>
  </si>
  <si>
    <t>41184</t>
  </si>
  <si>
    <t>ML168-S1-th</t>
  </si>
  <si>
    <t>41178</t>
  </si>
  <si>
    <t>ML168-S1A-ph</t>
  </si>
  <si>
    <t>40607</t>
  </si>
  <si>
    <t>ML154_16-S1A</t>
  </si>
  <si>
    <t>ML156_16</t>
  </si>
  <si>
    <t>ML156_16-S1-br</t>
  </si>
  <si>
    <t>172 Diamonds ( 156 + 16 Bonus )</t>
  </si>
  <si>
    <t>41991</t>
  </si>
  <si>
    <t>210 Diamond (191 + 19 Bonus)</t>
  </si>
  <si>
    <t>ML191_19-S1-sg</t>
  </si>
  <si>
    <t>ML217_23-S1A</t>
  </si>
  <si>
    <t>ML234_23</t>
  </si>
  <si>
    <t>ML234_23-S1-br</t>
  </si>
  <si>
    <t>62650</t>
  </si>
  <si>
    <t>ML234_23-S1-th</t>
  </si>
  <si>
    <t>63591</t>
  </si>
  <si>
    <t>ML254_30-S1-my</t>
  </si>
  <si>
    <t>82592</t>
  </si>
  <si>
    <t>ML256_40-S1A</t>
  </si>
  <si>
    <t>326 Diamond (292 + 34 Bonus)</t>
  </si>
  <si>
    <t>95006</t>
  </si>
  <si>
    <t>ML292_34-S1-sg</t>
  </si>
  <si>
    <t>ML303_33</t>
  </si>
  <si>
    <t>ML303_33-S1A-ph</t>
  </si>
  <si>
    <t>81214</t>
  </si>
  <si>
    <t>ML312_32-S1-th</t>
  </si>
  <si>
    <t>85147</t>
  </si>
  <si>
    <t>355 Diamonds (309 + 46 Bonus )</t>
  </si>
  <si>
    <t>ML309_46-S1A</t>
  </si>
  <si>
    <t>123911</t>
  </si>
  <si>
    <t>ML390_39-S1-th</t>
  </si>
  <si>
    <t>106165</t>
  </si>
  <si>
    <t>ML383_46-S1-my</t>
  </si>
  <si>
    <t>148649</t>
  </si>
  <si>
    <t>ML460_53-S11-sg</t>
  </si>
  <si>
    <t>ML468_46-S1-th</t>
  </si>
  <si>
    <t>514 Diamonds ( 468 + 46 Bonus )</t>
  </si>
  <si>
    <t>127182</t>
  </si>
  <si>
    <t>ML503_65-S1A</t>
  </si>
  <si>
    <t>ML504_66</t>
  </si>
  <si>
    <t>ML504_66-S1-th</t>
  </si>
  <si>
    <t>139730</t>
  </si>
  <si>
    <t>139282</t>
  </si>
  <si>
    <t>ML504_66-S1A-ph</t>
  </si>
  <si>
    <t>148892</t>
  </si>
  <si>
    <t>ML555_71</t>
  </si>
  <si>
    <t>626 Diamonds ( 555 + 71 Bonus )</t>
  </si>
  <si>
    <t>ML555_71-S1A-ph</t>
  </si>
  <si>
    <t>ML625_81</t>
  </si>
  <si>
    <t>706 Diamonds ( 625 + 81 Bonus )</t>
  </si>
  <si>
    <t>ML625_81-S1-br</t>
  </si>
  <si>
    <t>167829</t>
  </si>
  <si>
    <t>ML625_81-S1-th</t>
  </si>
  <si>
    <t>170293</t>
  </si>
  <si>
    <t>206503</t>
  </si>
  <si>
    <t>ML633_83-S1-my</t>
  </si>
  <si>
    <t>ML689_76-S1-sg</t>
  </si>
  <si>
    <t>765 Diamonds ( 689 + 76 Bonus )</t>
  </si>
  <si>
    <t>222771</t>
  </si>
  <si>
    <t>ML703_89-S1-th</t>
  </si>
  <si>
    <t>792 Diamonds ( 703 + 89 Bonus )</t>
  </si>
  <si>
    <t>191580</t>
  </si>
  <si>
    <t>ML774_101-S1A</t>
  </si>
  <si>
    <t>963 Diamonds ( 859 + 104 Bonus )</t>
  </si>
  <si>
    <t>ML859_104-S1-th</t>
  </si>
  <si>
    <t>233885</t>
  </si>
  <si>
    <t>ML1016_129-S11-sg</t>
  </si>
  <si>
    <t>1145 Diamonds ( 1016 + 129 Bonus )</t>
  </si>
  <si>
    <t>337793</t>
  </si>
  <si>
    <t>ML1016_129-S1-my</t>
  </si>
  <si>
    <t>330414</t>
  </si>
  <si>
    <t>ML1007_156</t>
  </si>
  <si>
    <t>ML1007_156-S1A-ph</t>
  </si>
  <si>
    <t>270712</t>
  </si>
  <si>
    <t>ML1007_156-S1-th</t>
  </si>
  <si>
    <t>281701</t>
  </si>
  <si>
    <t>1412 Diamonds ( 1250 + 162 Bonus )</t>
  </si>
  <si>
    <t>ML1250_162-S1-th</t>
  </si>
  <si>
    <t>340587</t>
  </si>
  <si>
    <t>1446 Diamonds  ( 1252 + 194 Bonus )</t>
  </si>
  <si>
    <t>ML1252_194-S1-my</t>
  </si>
  <si>
    <t>411841</t>
  </si>
  <si>
    <t>1530 Diamond (1329 + 201 Bonus)</t>
  </si>
  <si>
    <t>436534</t>
  </si>
  <si>
    <t>ML1329_201-S1-sg</t>
  </si>
  <si>
    <t>ML1708_302-S1A</t>
  </si>
  <si>
    <t>2162 Diamond (1885 + 277 Bonus)</t>
  </si>
  <si>
    <t>618345</t>
  </si>
  <si>
    <t>ML1885_277-S1-sg</t>
  </si>
  <si>
    <t>ML1860_335</t>
  </si>
  <si>
    <t>2195 Diamonds ( 1860 + 335 Bonus )</t>
  </si>
  <si>
    <t>ML1860_335-S1-br</t>
  </si>
  <si>
    <t>503486</t>
  </si>
  <si>
    <t>ML1860_335-S1-th</t>
  </si>
  <si>
    <t>510880</t>
  </si>
  <si>
    <t>ML2015_383</t>
  </si>
  <si>
    <t>ML2015_383-S1A-ph</t>
  </si>
  <si>
    <t>541425</t>
  </si>
  <si>
    <t>ML2015_383-S1-th</t>
  </si>
  <si>
    <t>566802</t>
  </si>
  <si>
    <t>ML2501_475-S19-my</t>
  </si>
  <si>
    <t>2976 Diamonds  ( 2501 + 475 Bonus )</t>
  </si>
  <si>
    <t>809555</t>
  </si>
  <si>
    <t>3116 Diamond (2630 + 486 Bonus)</t>
  </si>
  <si>
    <t>867242</t>
  </si>
  <si>
    <t>ML2630_486-S1-sg</t>
  </si>
  <si>
    <t>ML3099_589</t>
  </si>
  <si>
    <t>ML3099_589-S1-br</t>
  </si>
  <si>
    <t>3688 Diamonds ( 3099 + 589 Bonus )</t>
  </si>
  <si>
    <t>839188</t>
  </si>
  <si>
    <t>ML3099_589-S1-th</t>
  </si>
  <si>
    <t>851467</t>
  </si>
  <si>
    <t>ML3416_604-S1A</t>
  </si>
  <si>
    <t>4020 Diamonds (3416 + 604 Bonus )</t>
  </si>
  <si>
    <t>4422 Diamonds ( 3753 + 669 Bonus )</t>
  </si>
  <si>
    <t>ML3753_669-S1-sg</t>
  </si>
  <si>
    <t>1237899</t>
  </si>
  <si>
    <t>ML4796</t>
  </si>
  <si>
    <t>ML4796-S1A-ph</t>
  </si>
  <si>
    <t>4796 Diamonds ( 2398 + 2398 Bonus )</t>
  </si>
  <si>
    <t>1082850</t>
  </si>
  <si>
    <t>ML4649_883</t>
  </si>
  <si>
    <t>ML4649_883-S1-br</t>
  </si>
  <si>
    <t>5532 Diamonds ( 4649 + 883 Bonus )</t>
  </si>
  <si>
    <t>1258783</t>
  </si>
  <si>
    <t>5952 Diamonds ( 5002 + 950 Bonus )</t>
  </si>
  <si>
    <t>ML5002_950-S1-my</t>
  </si>
  <si>
    <t>1652116</t>
  </si>
  <si>
    <t>ML5035_1007</t>
  </si>
  <si>
    <t>ML5035_1007-S1A-ph</t>
  </si>
  <si>
    <t>1353562</t>
  </si>
  <si>
    <t>ML5035_1007-S1-th</t>
  </si>
  <si>
    <t>1371925</t>
  </si>
  <si>
    <t>7502 Diamonds  ( 6252 + 1250 Bonus )</t>
  </si>
  <si>
    <t>ML6252_1250-S19-my</t>
  </si>
  <si>
    <t>2033059</t>
  </si>
  <si>
    <t>ML7050_1390</t>
  </si>
  <si>
    <t>8440 Diamonds ( 7050 + 1390 Bonus )</t>
  </si>
  <si>
    <t>ML7050_1390-S1A-ph</t>
  </si>
  <si>
    <t>1894987</t>
  </si>
  <si>
    <t>ML7740_1548</t>
  </si>
  <si>
    <t>ML7740_1548-S1-br</t>
  </si>
  <si>
    <t>9288 Diamonds ( 7740 + 1548 Bonus )</t>
  </si>
  <si>
    <t>2097971</t>
  </si>
  <si>
    <t>ML10070_2014</t>
  </si>
  <si>
    <t>12084 Diamonds ( 10070 + 2014 Bonus )</t>
  </si>
  <si>
    <t>ML10070_2014-S1A-ph</t>
  </si>
  <si>
    <t>2707124</t>
  </si>
  <si>
    <t>MLTL-S1-my</t>
  </si>
  <si>
    <t>177419</t>
  </si>
  <si>
    <t>MLTL-S1-ph</t>
  </si>
  <si>
    <t>cost per diamond</t>
  </si>
  <si>
    <t>Total diamonds</t>
  </si>
  <si>
    <t>diamonds</t>
  </si>
  <si>
    <t>Recommended price in idr (SGD 14k )</t>
  </si>
  <si>
    <t>Price / diamond</t>
  </si>
  <si>
    <t>Product code</t>
  </si>
  <si>
    <t>MYR =</t>
  </si>
  <si>
    <t>Price per diamonds</t>
  </si>
  <si>
    <t>Damonds</t>
  </si>
  <si>
    <t>price/diamond</t>
  </si>
  <si>
    <t>Price/diamonds</t>
  </si>
  <si>
    <t>Diamonds</t>
  </si>
  <si>
    <t>Price reseller</t>
  </si>
  <si>
    <t>PRICE DYNAMIC NON CRYPTO</t>
  </si>
  <si>
    <t>PRICE DYNAMIC CRYPTO</t>
  </si>
  <si>
    <t>idr price</t>
  </si>
  <si>
    <t>margin</t>
  </si>
  <si>
    <t>ini lo liat dari pricing yg terupdate (yg diatas bisa aja harga sudah berubah bro feyber</t>
  </si>
  <si>
    <t>MODAL</t>
  </si>
  <si>
    <t>DYNAMIC NON CRYPTO</t>
  </si>
  <si>
    <t xml:space="preserve">DYNAMIC NON CRYPTO </t>
  </si>
  <si>
    <t>YG DIATAS BELUM TENTU UPDATE YA HARGA MODALNYA</t>
  </si>
  <si>
    <t>Indonesia</t>
  </si>
  <si>
    <t>MLGLO</t>
  </si>
  <si>
    <t>Mobile Legends Global</t>
  </si>
  <si>
    <t>MLGLO153_15</t>
  </si>
  <si>
    <t>MLGLO153_15-S95</t>
  </si>
  <si>
    <t>MLGLO202_22</t>
  </si>
  <si>
    <t>MLGLO202_22-S95</t>
  </si>
  <si>
    <t>224 Diamonds ( 202 + 22 Bonus )</t>
  </si>
  <si>
    <t>MLGLO500_65</t>
  </si>
  <si>
    <t>MLGLO500_65-S95</t>
  </si>
  <si>
    <t>565 Diamonds ( 500 + 65 Bonus )</t>
  </si>
  <si>
    <t>MLGLO1007_156</t>
  </si>
  <si>
    <t>MLGLO1007_156-S95</t>
  </si>
  <si>
    <t>MLGLO1252_194</t>
  </si>
  <si>
    <t>MLGLO1252_194-S95</t>
  </si>
  <si>
    <t>1446 Diamonds ( 1252 + 194 Bonus )</t>
  </si>
  <si>
    <t>MLGLO2015_383</t>
  </si>
  <si>
    <t>MLGLO2015_383-S95</t>
  </si>
  <si>
    <t>MLGLO2501_475</t>
  </si>
  <si>
    <t>MLGLO2501_475-S95</t>
  </si>
  <si>
    <t>2976 Diamonds ( 2501 + 475 Bonus )</t>
  </si>
  <si>
    <t>MLGLO5035_1007</t>
  </si>
  <si>
    <t>MLGLO5035_1007-S95</t>
  </si>
  <si>
    <t>MLGLO6252_1250</t>
  </si>
  <si>
    <t>MLGLO6252_1250-S95</t>
  </si>
  <si>
    <t>7502 Diamonds ( 6252 + 1250 Bonus )</t>
  </si>
  <si>
    <t>MODAL/Reseller Price</t>
  </si>
  <si>
    <t>VAL</t>
  </si>
  <si>
    <t>Valorant</t>
  </si>
  <si>
    <t>VAL2050</t>
  </si>
  <si>
    <t>VAL2050-S10</t>
  </si>
  <si>
    <t>2050 Points</t>
  </si>
  <si>
    <t>VAL475</t>
  </si>
  <si>
    <t>VAL475-S10</t>
  </si>
  <si>
    <t>475 Points</t>
  </si>
  <si>
    <t>VAL1000</t>
  </si>
  <si>
    <t>VAL1000-S10</t>
  </si>
  <si>
    <t>1000 Points</t>
  </si>
  <si>
    <t>VAL1475</t>
  </si>
  <si>
    <t>VAL1475-S10</t>
  </si>
  <si>
    <t>1475 Points</t>
  </si>
  <si>
    <t>VAL2525</t>
  </si>
  <si>
    <t>VAL2525-S10</t>
  </si>
  <si>
    <t>2525 Points</t>
  </si>
  <si>
    <t>VAL3050</t>
  </si>
  <si>
    <t>VAL3050-S10</t>
  </si>
  <si>
    <t>3050 Point</t>
  </si>
  <si>
    <t>VAL3650</t>
  </si>
  <si>
    <t>VAL3650-S10</t>
  </si>
  <si>
    <t>3650 Points</t>
  </si>
  <si>
    <t>VAL4125</t>
  </si>
  <si>
    <t>VAL4125-S10</t>
  </si>
  <si>
    <t>4125 Points</t>
  </si>
  <si>
    <t>VAL4650</t>
  </si>
  <si>
    <t>VAL4650-S10</t>
  </si>
  <si>
    <t>4650 Points</t>
  </si>
  <si>
    <t>VAL5350</t>
  </si>
  <si>
    <t>VAL5350-S10</t>
  </si>
  <si>
    <t>5350 Points</t>
  </si>
  <si>
    <t>VAL5700</t>
  </si>
  <si>
    <t>VAL5700-S10</t>
  </si>
  <si>
    <t>5700 Points</t>
  </si>
  <si>
    <t>VAL5825</t>
  </si>
  <si>
    <t>VAL5825-S10</t>
  </si>
  <si>
    <t>5825 Points</t>
  </si>
  <si>
    <t>VAL6350</t>
  </si>
  <si>
    <t>VAL6350-S10</t>
  </si>
  <si>
    <t>6350 Points</t>
  </si>
  <si>
    <t>VAL7400</t>
  </si>
  <si>
    <t>VAL7400-S10</t>
  </si>
  <si>
    <t>7400 Points</t>
  </si>
  <si>
    <t>VAL9000</t>
  </si>
  <si>
    <t>VAL9000-S10</t>
  </si>
  <si>
    <t>9000 Points</t>
  </si>
  <si>
    <t>VAL11000</t>
  </si>
  <si>
    <t>VAL11000-S10</t>
  </si>
  <si>
    <t>11000 Points</t>
  </si>
  <si>
    <t>VAL11475</t>
  </si>
  <si>
    <t>VAL11475-S10</t>
  </si>
  <si>
    <t>11475 Points</t>
  </si>
  <si>
    <t>VAL12000</t>
  </si>
  <si>
    <t>VAL12000-S10</t>
  </si>
  <si>
    <t>12000 Points</t>
  </si>
  <si>
    <t>VAL13050</t>
  </si>
  <si>
    <t>VAL13050-S10</t>
  </si>
  <si>
    <t>13050 Points</t>
  </si>
  <si>
    <t>VAL14650</t>
  </si>
  <si>
    <t>VAL14650-S10</t>
  </si>
  <si>
    <t>14650 Points</t>
  </si>
  <si>
    <t>VAL16350</t>
  </si>
  <si>
    <t>VAL16350-S10</t>
  </si>
  <si>
    <t>16350 Points</t>
  </si>
  <si>
    <t>VAL22000</t>
  </si>
  <si>
    <t>VAL22000-S10</t>
  </si>
  <si>
    <t>22000 Points</t>
  </si>
  <si>
    <t>EZPRICE</t>
  </si>
  <si>
    <t>modal Reseller Price</t>
  </si>
  <si>
    <t>HARGA MODAL</t>
  </si>
  <si>
    <t>harga jual EZ</t>
  </si>
  <si>
    <t>FF</t>
  </si>
  <si>
    <t>Free Fire</t>
  </si>
  <si>
    <t>FF5</t>
  </si>
  <si>
    <t>FF5-S29</t>
  </si>
  <si>
    <t>5 Diamonds</t>
  </si>
  <si>
    <t>FF10</t>
  </si>
  <si>
    <t>FF10-S29</t>
  </si>
  <si>
    <t>10 Diamonds</t>
  </si>
  <si>
    <t>FF12</t>
  </si>
  <si>
    <t>FF12-S29</t>
  </si>
  <si>
    <t>12 Diamonds</t>
  </si>
  <si>
    <t>FF70</t>
  </si>
  <si>
    <t>FF70-S29</t>
  </si>
  <si>
    <t>70 Diamonds</t>
  </si>
  <si>
    <t>FF80</t>
  </si>
  <si>
    <t>FF80-S29</t>
  </si>
  <si>
    <t>80 Diamonds</t>
  </si>
  <si>
    <t>FF90</t>
  </si>
  <si>
    <t>FF90-S29</t>
  </si>
  <si>
    <t>90 Diamonds</t>
  </si>
  <si>
    <t>FF140</t>
  </si>
  <si>
    <t>FF140-S29</t>
  </si>
  <si>
    <t>140 Diamonds</t>
  </si>
  <si>
    <t>FF145</t>
  </si>
  <si>
    <t>FF145-S29</t>
  </si>
  <si>
    <t>145 Diamonds</t>
  </si>
  <si>
    <t>FF150</t>
  </si>
  <si>
    <t>FF150-S29</t>
  </si>
  <si>
    <t>150 Diamonds</t>
  </si>
  <si>
    <t>FF210</t>
  </si>
  <si>
    <t>FF210-S29</t>
  </si>
  <si>
    <t>210 Diamonds</t>
  </si>
  <si>
    <t>FF280</t>
  </si>
  <si>
    <t>FF280-S29</t>
  </si>
  <si>
    <t>280 Diamonds</t>
  </si>
  <si>
    <t>FF375</t>
  </si>
  <si>
    <t>FF375-S29</t>
  </si>
  <si>
    <t>375 Diamonds</t>
  </si>
  <si>
    <t>FF405</t>
  </si>
  <si>
    <t>FF405-S29</t>
  </si>
  <si>
    <t>405 Diamonds</t>
  </si>
  <si>
    <t>FF420</t>
  </si>
  <si>
    <t>FF420-S29</t>
  </si>
  <si>
    <t>420 Diamonds</t>
  </si>
  <si>
    <t>FF495</t>
  </si>
  <si>
    <t>FF495-S29</t>
  </si>
  <si>
    <t>495 Diamonds</t>
  </si>
  <si>
    <t>FF500</t>
  </si>
  <si>
    <t>FF500-S29</t>
  </si>
  <si>
    <t>500 Diamonds</t>
  </si>
  <si>
    <t>FF600</t>
  </si>
  <si>
    <t>FF600-S29</t>
  </si>
  <si>
    <t>600 Diamonds</t>
  </si>
  <si>
    <t>FF770</t>
  </si>
  <si>
    <t>FF770-S29</t>
  </si>
  <si>
    <t>770 Diamonds</t>
  </si>
  <si>
    <t>FF925</t>
  </si>
  <si>
    <t>FF925-S29</t>
  </si>
  <si>
    <t>925 Diamonds</t>
  </si>
  <si>
    <t>FF1440</t>
  </si>
  <si>
    <t>FF1440-S29</t>
  </si>
  <si>
    <t>1440 Diamonds</t>
  </si>
  <si>
    <t>FF2160</t>
  </si>
  <si>
    <t>FF2160-S29</t>
  </si>
  <si>
    <t>2160 Diamonds</t>
  </si>
  <si>
    <t>FF2355</t>
  </si>
  <si>
    <t>FF2355-S29</t>
  </si>
  <si>
    <t>2355 Diamonds</t>
  </si>
  <si>
    <t>FF2725</t>
  </si>
  <si>
    <t>FF2725-S29</t>
  </si>
  <si>
    <t>2725 Diamonds</t>
  </si>
  <si>
    <t>FF3620</t>
  </si>
  <si>
    <t>FF3620-S29</t>
  </si>
  <si>
    <t>3620 Diamonds</t>
  </si>
  <si>
    <t>FF4000</t>
  </si>
  <si>
    <t>FF4000-S29</t>
  </si>
  <si>
    <t>4000 Diamonds</t>
  </si>
  <si>
    <t>VFFGLO</t>
  </si>
  <si>
    <t>Voucher Free Fire Global</t>
  </si>
  <si>
    <t>VOUCHER</t>
  </si>
  <si>
    <t>VFFGLOBAL100</t>
  </si>
  <si>
    <t>VFFGLOBAL100-S130</t>
  </si>
  <si>
    <t>100 Diamonds</t>
  </si>
  <si>
    <t>VFFGLOBAL210</t>
  </si>
  <si>
    <t>VFFGLOBAL210-S22</t>
  </si>
  <si>
    <t>FFGLOBAL</t>
  </si>
  <si>
    <t>Free Fire Global</t>
  </si>
  <si>
    <t>FFGLOBAL520</t>
  </si>
  <si>
    <t>FFGLOBAL520-S19</t>
  </si>
  <si>
    <t>520 Diamonds</t>
  </si>
  <si>
    <t>FFMY25</t>
  </si>
  <si>
    <t>FFMY25-S40A-my</t>
  </si>
  <si>
    <t>25 Diamonds</t>
  </si>
  <si>
    <t>FFMY25-S40A-sg</t>
  </si>
  <si>
    <t>FFMY25-S95-ph</t>
  </si>
  <si>
    <t>FF33</t>
  </si>
  <si>
    <t>FF33-S10-th</t>
  </si>
  <si>
    <t>33 Diamond</t>
  </si>
  <si>
    <t>FFMY50</t>
  </si>
  <si>
    <t>FFMY50-S40A-my</t>
  </si>
  <si>
    <t>50 Diamonds</t>
  </si>
  <si>
    <t>FFMY50-S40A-sg</t>
  </si>
  <si>
    <t>FFMY50-S95-ph</t>
  </si>
  <si>
    <t>FFMY50-S19-sg</t>
  </si>
  <si>
    <t>FFMY100</t>
  </si>
  <si>
    <t>FFMY100-S19-my</t>
  </si>
  <si>
    <t>FFMY100-S19-sg</t>
  </si>
  <si>
    <t>FFMY100-S95-ph</t>
  </si>
  <si>
    <t>FFMY100-S95-sg</t>
  </si>
  <si>
    <t>FFMY200</t>
  </si>
  <si>
    <t>FFMY200-S19-my</t>
  </si>
  <si>
    <t>200 Diamonds</t>
  </si>
  <si>
    <t>FFMY200-S19-sg</t>
  </si>
  <si>
    <t>FFMY200-S95-ph</t>
  </si>
  <si>
    <t>FFMY200-S95-sg</t>
  </si>
  <si>
    <t>FFMY930</t>
  </si>
  <si>
    <t>FFMY930-S19-my</t>
  </si>
  <si>
    <t>930 Diamonds</t>
  </si>
  <si>
    <t>FFMY930-S19-sg</t>
  </si>
  <si>
    <t>FFMY930-S95-ph</t>
  </si>
  <si>
    <t>FFMY1060</t>
  </si>
  <si>
    <t>FFMY1060-S19-my</t>
  </si>
  <si>
    <t>1060 Diamonds</t>
  </si>
  <si>
    <t>FFMY1060-S19-sg</t>
  </si>
  <si>
    <t>FFMY1060-S95-ph</t>
  </si>
  <si>
    <t>FF1052</t>
  </si>
  <si>
    <t>FF1052-S10-th</t>
  </si>
  <si>
    <t>1052 Diamond</t>
  </si>
  <si>
    <t>FFMY1580</t>
  </si>
  <si>
    <t>FFMY1580-S19-my</t>
  </si>
  <si>
    <t>1580 Diamonds</t>
  </si>
  <si>
    <t>FFMY1580-S19-sg</t>
  </si>
  <si>
    <t>FFMY1580-S95-ph</t>
  </si>
  <si>
    <t>FF1801</t>
  </si>
  <si>
    <t>FF1801-S10-th</t>
  </si>
  <si>
    <t>1801 Diamond</t>
  </si>
  <si>
    <t>FFMY2180</t>
  </si>
  <si>
    <t>FFMY2180-S95-ph</t>
  </si>
  <si>
    <t>2180 Diamonds</t>
  </si>
  <si>
    <t>FFMY2180-S19-my</t>
  </si>
  <si>
    <t>FFMY2180-S19-sg</t>
  </si>
  <si>
    <t>FFMY3240</t>
  </si>
  <si>
    <t>FFMY3240-S95-ph</t>
  </si>
  <si>
    <t>3240 Diamonds</t>
  </si>
  <si>
    <t>FFMY3240-S19-my</t>
  </si>
  <si>
    <t>FFMY3240-S19-sg</t>
  </si>
  <si>
    <t>FF3698</t>
  </si>
  <si>
    <t>FF3698-S10-th</t>
  </si>
  <si>
    <t>3698 Diamond</t>
  </si>
  <si>
    <t>FFMY5600</t>
  </si>
  <si>
    <t>FFMY5600-S19-my</t>
  </si>
  <si>
    <t>5600 Diamonds</t>
  </si>
  <si>
    <t>FFMY5600-S19-sg</t>
  </si>
  <si>
    <t>FFMY5600-S95-ph</t>
  </si>
  <si>
    <t>FFMY11500</t>
  </si>
  <si>
    <t>FFMY11500-S19-my</t>
  </si>
  <si>
    <t>11500 Diamonds</t>
  </si>
  <si>
    <t>FFMY11500-S19-sg</t>
  </si>
  <si>
    <t>FFMY11500-S95-ph</t>
  </si>
  <si>
    <t>DYNAMIC PRICING NON CRYPTO</t>
  </si>
  <si>
    <t>DYNAMIC PRICING CRYPTO</t>
  </si>
  <si>
    <t>EZ PRICE</t>
  </si>
  <si>
    <t>MODAL Reseller Price</t>
  </si>
  <si>
    <t>United States</t>
  </si>
  <si>
    <t>VXBOX</t>
  </si>
  <si>
    <t>Xbox Gift Card</t>
  </si>
  <si>
    <t>XBOXUSD10</t>
  </si>
  <si>
    <t>XBOXUSD10-S16-us</t>
  </si>
  <si>
    <t>Xbox Gift Card $10</t>
  </si>
  <si>
    <t>167725</t>
  </si>
  <si>
    <t>XBOXUSD10-S22</t>
  </si>
  <si>
    <t>161000</t>
  </si>
  <si>
    <t>XBOXUSD15</t>
  </si>
  <si>
    <t>XBOXUSD15-S16-us</t>
  </si>
  <si>
    <t>Xbox Gift Card $15</t>
  </si>
  <si>
    <t>251587</t>
  </si>
  <si>
    <t>XBOXUSD15-S22</t>
  </si>
  <si>
    <t>241500</t>
  </si>
  <si>
    <t>VXBOXBRL15</t>
  </si>
  <si>
    <t>VXBOXBRL15-S22-br</t>
  </si>
  <si>
    <t>Xbox Gift Card Brazil 15 BRL</t>
  </si>
  <si>
    <t>41796</t>
  </si>
  <si>
    <t>XBOXUSD20</t>
  </si>
  <si>
    <t>XBOXUSD20-S22</t>
  </si>
  <si>
    <t>Xbox Gift Card $20</t>
  </si>
  <si>
    <t>321900</t>
  </si>
  <si>
    <t>XBOXUSD20-S16-us</t>
  </si>
  <si>
    <t>335449</t>
  </si>
  <si>
    <t>XBOXUSD25</t>
  </si>
  <si>
    <t>XBOXUSD25-S16-us</t>
  </si>
  <si>
    <t>Xbox Gift Card $25</t>
  </si>
  <si>
    <t>419312</t>
  </si>
  <si>
    <t>XBOXUSD25-S22</t>
  </si>
  <si>
    <t>402500</t>
  </si>
  <si>
    <t>VXBOXBRL40</t>
  </si>
  <si>
    <t>VXBOXBRL40-S22-us</t>
  </si>
  <si>
    <t>Xbox Gift Card Brazil 40 BRL</t>
  </si>
  <si>
    <t>111455</t>
  </si>
  <si>
    <t>VXBOXBRL40-S22-br</t>
  </si>
  <si>
    <t>XBOXUSD50</t>
  </si>
  <si>
    <t>XBOXUSD50-S22</t>
  </si>
  <si>
    <t>Xbox Gift Card $50</t>
  </si>
  <si>
    <t>804700</t>
  </si>
  <si>
    <t>XBOXGPU1</t>
  </si>
  <si>
    <t>XBOXGPU1-S22</t>
  </si>
  <si>
    <t>Xbox Game Pass Ultimate 1 Month</t>
  </si>
  <si>
    <t>358300</t>
  </si>
  <si>
    <t>XBOXGPU3</t>
  </si>
  <si>
    <t>XBOXGPU3-S22</t>
  </si>
  <si>
    <t>Xbox Game Pass Ultimate 3 Months</t>
  </si>
  <si>
    <t>1075200</t>
  </si>
  <si>
    <t>VXBOXBRL60</t>
  </si>
  <si>
    <t>VXBOXBRL60-S22-us</t>
  </si>
  <si>
    <t>Xbox Gift Card Brazil 60 BRL</t>
  </si>
  <si>
    <t>167340</t>
  </si>
  <si>
    <t>VXBOXBRL60-S22-br</t>
  </si>
  <si>
    <t>VXBOXBRL70</t>
  </si>
  <si>
    <t>VXBOXBRL70-S22-us</t>
  </si>
  <si>
    <t>Xbox Gift Card Brazil 70 BRL</t>
  </si>
  <si>
    <t>195203</t>
  </si>
  <si>
    <t>VXBOXBRL70-S22-br</t>
  </si>
  <si>
    <t>XBOXUSD100</t>
  </si>
  <si>
    <t>XBOXUSD100-S22</t>
  </si>
  <si>
    <t>Xbox Gift Card $100</t>
  </si>
  <si>
    <t>1609400</t>
  </si>
  <si>
    <t>XBOXUSD100-S16-us</t>
  </si>
  <si>
    <t>1677245</t>
  </si>
  <si>
    <t>EZ Price</t>
  </si>
  <si>
    <t>NTD</t>
  </si>
  <si>
    <t>Voucher Nintendo</t>
  </si>
  <si>
    <t>VNTD10</t>
  </si>
  <si>
    <t>VNTD10-S22</t>
  </si>
  <si>
    <t>Nintendo $10</t>
  </si>
  <si>
    <t>159520</t>
  </si>
  <si>
    <t>VNTD20</t>
  </si>
  <si>
    <t>VNTD20-S22</t>
  </si>
  <si>
    <t>Nintendo $20</t>
  </si>
  <si>
    <t>319040</t>
  </si>
  <si>
    <t>VNTD35</t>
  </si>
  <si>
    <t>VNTD35-S22</t>
  </si>
  <si>
    <t>Nintendo $35</t>
  </si>
  <si>
    <t>555189</t>
  </si>
  <si>
    <t>VNTD50</t>
  </si>
  <si>
    <t>VNTD50-S22</t>
  </si>
  <si>
    <t>Nintendo $50</t>
  </si>
  <si>
    <t>797600</t>
  </si>
  <si>
    <t>NTDBRL300</t>
  </si>
  <si>
    <t>NTDBRL300-S22-br</t>
  </si>
  <si>
    <t>Nintendo Brazil 300 BRL</t>
  </si>
  <si>
    <t>919814</t>
  </si>
  <si>
    <t>VNTDHKD300</t>
  </si>
  <si>
    <t>VNTDHKD300-S16</t>
  </si>
  <si>
    <t>Nintendo 300 HKD</t>
  </si>
  <si>
    <t>677497</t>
  </si>
  <si>
    <t>VNTDHKD500</t>
  </si>
  <si>
    <t>VNTDHKD500-S16</t>
  </si>
  <si>
    <t>Nintendo 500 HKD</t>
  </si>
  <si>
    <t>1129343</t>
  </si>
  <si>
    <t>VSTEAM</t>
  </si>
  <si>
    <t>Steam Gift Card</t>
  </si>
  <si>
    <t>STEAMPHP50</t>
  </si>
  <si>
    <t>STEAMPHP50-S22-ph</t>
  </si>
  <si>
    <t>Steam Wallet PHP 50</t>
  </si>
  <si>
    <t>14019</t>
  </si>
  <si>
    <t>STEAMSGD5</t>
  </si>
  <si>
    <t>STEAMSGD5-S22-sg</t>
  </si>
  <si>
    <t>Steam Wallet SGD 5</t>
  </si>
  <si>
    <t>68003</t>
  </si>
  <si>
    <t>STEAMMYR8</t>
  </si>
  <si>
    <t>STEAMMYR8-S22-my</t>
  </si>
  <si>
    <t>Steam Wallet Code MYR 8</t>
  </si>
  <si>
    <t>34446</t>
  </si>
  <si>
    <t>STEAMTHB100</t>
  </si>
  <si>
    <t>STEAMTHB100-S22-th</t>
  </si>
  <si>
    <t>Steam Wallet Code THB 100</t>
  </si>
  <si>
    <t>53093</t>
  </si>
  <si>
    <t>STEAMMYR5</t>
  </si>
  <si>
    <t>STEAMMYR5-S22-my</t>
  </si>
  <si>
    <t>Steam Wallet Code MYR 5</t>
  </si>
  <si>
    <t>21552</t>
  </si>
  <si>
    <t>Germany</t>
  </si>
  <si>
    <t>STEAM5EUR</t>
  </si>
  <si>
    <t>STEAM5EUR-S130-de</t>
  </si>
  <si>
    <t>Steam 5 EUR</t>
  </si>
  <si>
    <t>108245</t>
  </si>
  <si>
    <t>STEAMMYR8-S11-my</t>
  </si>
  <si>
    <t>36154</t>
  </si>
  <si>
    <t>STEAMMYR10</t>
  </si>
  <si>
    <t>STEAMMYR10-S22-my</t>
  </si>
  <si>
    <t>Steam Wallet Code MYR 10</t>
  </si>
  <si>
    <t>43104</t>
  </si>
  <si>
    <t>STEAMMYR10-S11-my</t>
  </si>
  <si>
    <t>45226</t>
  </si>
  <si>
    <t>STEAMSGD10</t>
  </si>
  <si>
    <t>STEAMSGD10-S22-sg</t>
  </si>
  <si>
    <t>Steam Wallet SGD 10</t>
  </si>
  <si>
    <t>135765</t>
  </si>
  <si>
    <t>STEAM10EUR</t>
  </si>
  <si>
    <t>STEAM10EUR-S130-de</t>
  </si>
  <si>
    <t>Steam 10 EUR</t>
  </si>
  <si>
    <t>213215</t>
  </si>
  <si>
    <t>STEAMMYR16</t>
  </si>
  <si>
    <t>STEAMMYR16-S22-my</t>
  </si>
  <si>
    <t>Steam Wallet Code MYR 16</t>
  </si>
  <si>
    <t>69137</t>
  </si>
  <si>
    <t>STEAMMYR20</t>
  </si>
  <si>
    <t>STEAMMYR20-S11-my</t>
  </si>
  <si>
    <t>Steam Wallet Code MYR 20</t>
  </si>
  <si>
    <t>90408</t>
  </si>
  <si>
    <t>STEAMSGD20</t>
  </si>
  <si>
    <t>STEAMSGD20-S22-sg</t>
  </si>
  <si>
    <t>Steam Wallet SGD 20</t>
  </si>
  <si>
    <t>272011</t>
  </si>
  <si>
    <t>STEAMMYR20-S22-my</t>
  </si>
  <si>
    <t>87642</t>
  </si>
  <si>
    <t>STEAMUSD20</t>
  </si>
  <si>
    <t>STEAMUSD20-S16-us</t>
  </si>
  <si>
    <t>Steam Gift Card 20 USD</t>
  </si>
  <si>
    <t>372259</t>
  </si>
  <si>
    <t>STEAMUSD20-S130-us</t>
  </si>
  <si>
    <t>382040</t>
  </si>
  <si>
    <t>STEAM20EUR</t>
  </si>
  <si>
    <t>STEAM20EUR-S16</t>
  </si>
  <si>
    <t>Steam 20 EUR</t>
  </si>
  <si>
    <t>424963</t>
  </si>
  <si>
    <t>STEAM20EUR-S16-de</t>
  </si>
  <si>
    <t>STEAMMYR24</t>
  </si>
  <si>
    <t>STEAMMYR24-S22-my</t>
  </si>
  <si>
    <t>Steam Wallet Code MYR 24</t>
  </si>
  <si>
    <t>103706</t>
  </si>
  <si>
    <t>STEAMUSD25</t>
  </si>
  <si>
    <t>STEAMUSD25-S130-us</t>
  </si>
  <si>
    <t>Steam Gift Card 25 USD</t>
  </si>
  <si>
    <t>477550</t>
  </si>
  <si>
    <t>STEAM30EUR</t>
  </si>
  <si>
    <t>STEAM30EUR-S130-de</t>
  </si>
  <si>
    <t>Steam 30 EUR</t>
  </si>
  <si>
    <t>639462</t>
  </si>
  <si>
    <t>STEAMUSD30</t>
  </si>
  <si>
    <t>STEAMUSD30-S16-us</t>
  </si>
  <si>
    <t>Steam Gift Card 30 USD</t>
  </si>
  <si>
    <t>538604</t>
  </si>
  <si>
    <t>STEAMSGD30</t>
  </si>
  <si>
    <t>STEAMSGD30-S22-sg</t>
  </si>
  <si>
    <t>Steam Wallet SGD 30</t>
  </si>
  <si>
    <t>408017</t>
  </si>
  <si>
    <t>STEAM30EUR-S16</t>
  </si>
  <si>
    <t>637353</t>
  </si>
  <si>
    <t>STEAM30EUR-S16-de</t>
  </si>
  <si>
    <t>STEAMMYR48</t>
  </si>
  <si>
    <t>STEAMMYR48-S22-my</t>
  </si>
  <si>
    <t>Steam Wallet Code MYR 48</t>
  </si>
  <si>
    <t>209056</t>
  </si>
  <si>
    <t>STEAM50EUR</t>
  </si>
  <si>
    <t>STEAM50EUR-S130-de</t>
  </si>
  <si>
    <t>Steam 50 EUR</t>
  </si>
  <si>
    <t>1108461</t>
  </si>
  <si>
    <t>STEAMPHP50-S95-ph</t>
  </si>
  <si>
    <t>15267</t>
  </si>
  <si>
    <t>STEAMMYR50</t>
  </si>
  <si>
    <t>STEAMMYR50-S22-my</t>
  </si>
  <si>
    <t>Steam Wallet Code MYR 50</t>
  </si>
  <si>
    <t>214366</t>
  </si>
  <si>
    <t>STEAMSGD75</t>
  </si>
  <si>
    <t>STEAMSGD75-S22-sg</t>
  </si>
  <si>
    <t>Steam Wallet SGD 75</t>
  </si>
  <si>
    <t>1019612</t>
  </si>
  <si>
    <t>STEAMPHP50-S22</t>
  </si>
  <si>
    <t>STEAMTHB50</t>
  </si>
  <si>
    <t>STEAMTHB50-S22-th</t>
  </si>
  <si>
    <t>Steam Wallet Code THB 50</t>
  </si>
  <si>
    <t>26770</t>
  </si>
  <si>
    <t>STEAMSGD50</t>
  </si>
  <si>
    <t>STEAMSGD50-S22-sg</t>
  </si>
  <si>
    <t>Steam Wallet SGD 50</t>
  </si>
  <si>
    <t>680029</t>
  </si>
  <si>
    <t>STEAMUSD50</t>
  </si>
  <si>
    <t>STEAMUSD50-S16-us</t>
  </si>
  <si>
    <t>Steam Gift Card 50 USD</t>
  </si>
  <si>
    <t>930443</t>
  </si>
  <si>
    <t>STEAMTHB75</t>
  </si>
  <si>
    <t>STEAMTHB75-S22-th</t>
  </si>
  <si>
    <t>Steam Wallet Code THB 75</t>
  </si>
  <si>
    <t>40325</t>
  </si>
  <si>
    <t>Vietnam</t>
  </si>
  <si>
    <t>STEAMVND75000</t>
  </si>
  <si>
    <t>STEAMVND75000-S22-vn</t>
  </si>
  <si>
    <t>Steam Wallet Code VND 75000</t>
  </si>
  <si>
    <t>49795</t>
  </si>
  <si>
    <t>STEAMMYR80</t>
  </si>
  <si>
    <t>STEAMMYR80-S22-my</t>
  </si>
  <si>
    <t>Steam Wallet Code MYR 80</t>
  </si>
  <si>
    <t>344683</t>
  </si>
  <si>
    <t>STEAMPHP100</t>
  </si>
  <si>
    <t>STEAMPHP100-S22</t>
  </si>
  <si>
    <t>Steam Wallet PHP 100</t>
  </si>
  <si>
    <t>28088</t>
  </si>
  <si>
    <t>STEAMPHP100-S22-ph</t>
  </si>
  <si>
    <t>STEAMMYR100</t>
  </si>
  <si>
    <t>STEAMMYR100-S11-my</t>
  </si>
  <si>
    <t>Steam Wallet Code MYR 100</t>
  </si>
  <si>
    <t>452084</t>
  </si>
  <si>
    <t>STEAMVND100000</t>
  </si>
  <si>
    <t>STEAMVND100000-S22-vn</t>
  </si>
  <si>
    <t>Steam Wallet Code VND 100000</t>
  </si>
  <si>
    <t>66085</t>
  </si>
  <si>
    <t>STEAMMYR100-S22-my</t>
  </si>
  <si>
    <t>419668</t>
  </si>
  <si>
    <t>STEAMUSD100</t>
  </si>
  <si>
    <t>STEAMUSD100-S16-us</t>
  </si>
  <si>
    <t>Steam Gift Card 100 USD</t>
  </si>
  <si>
    <t>1904883</t>
  </si>
  <si>
    <t>STEAMTHB100-S16</t>
  </si>
  <si>
    <t>56410</t>
  </si>
  <si>
    <t>STEAMVND120000</t>
  </si>
  <si>
    <t>STEAMVND120000-S22-vn</t>
  </si>
  <si>
    <t>Steam Wallet Code VND 120000</t>
  </si>
  <si>
    <t>79413</t>
  </si>
  <si>
    <t>STEAMVND150000</t>
  </si>
  <si>
    <t>STEAMVND150000-S22-vn</t>
  </si>
  <si>
    <t>Steam Wallet Code VND 150000</t>
  </si>
  <si>
    <t>99178</t>
  </si>
  <si>
    <t>STEAMVND200000</t>
  </si>
  <si>
    <t>STEAMVND200000-S22-vn</t>
  </si>
  <si>
    <t>Steam Wallet Code VND 200000</t>
  </si>
  <si>
    <t>132354</t>
  </si>
  <si>
    <t>STEAMMYR200</t>
  </si>
  <si>
    <t>STEAMMYR200-S22-my</t>
  </si>
  <si>
    <t>Steam Wallet Code MYR 200</t>
  </si>
  <si>
    <t>876419</t>
  </si>
  <si>
    <t>STEAMTHB200</t>
  </si>
  <si>
    <t>STEAMTHB200-S22-th</t>
  </si>
  <si>
    <t>Steam Wallet Code THB 200</t>
  </si>
  <si>
    <t>107082</t>
  </si>
  <si>
    <t>STEAMPHP250</t>
  </si>
  <si>
    <t>STEAMPHP250-S22</t>
  </si>
  <si>
    <t>Steam Wallet PHP 250</t>
  </si>
  <si>
    <t>70095</t>
  </si>
  <si>
    <t>STEAMPHP250-S22-ph</t>
  </si>
  <si>
    <t>STEAMTHB350</t>
  </si>
  <si>
    <t>STEAMTHB350-S22-th</t>
  </si>
  <si>
    <t>Steam Wallet Code THB 350</t>
  </si>
  <si>
    <t>188612</t>
  </si>
  <si>
    <t>STEAMPHP500</t>
  </si>
  <si>
    <t>STEAMPHP500-S22</t>
  </si>
  <si>
    <t>Steam Wallet PHP 500</t>
  </si>
  <si>
    <t>140191</t>
  </si>
  <si>
    <t>STEAMPHP500-S22-ph</t>
  </si>
  <si>
    <t>STEAMVND500000</t>
  </si>
  <si>
    <t>STEAMVND500000-S22-vn</t>
  </si>
  <si>
    <t>Steam Wallet Code VND 500000</t>
  </si>
  <si>
    <t>330978</t>
  </si>
  <si>
    <t>STEAMPHP800</t>
  </si>
  <si>
    <t>STEAMPHP800-S22</t>
  </si>
  <si>
    <t>Steam Wallet PHP 800</t>
  </si>
  <si>
    <t>224305</t>
  </si>
  <si>
    <t>STEAMPHP800-S22-ph</t>
  </si>
  <si>
    <t>STEAMPHP1000</t>
  </si>
  <si>
    <t>STEAMPHP1000-S22</t>
  </si>
  <si>
    <t>Steam Wallet PHP 1000</t>
  </si>
  <si>
    <t>280879</t>
  </si>
  <si>
    <t>STEAMPHP1000-S22-ph</t>
  </si>
  <si>
    <t>STEAMTHB1000</t>
  </si>
  <si>
    <t>STEAMTHB1000-S22-th</t>
  </si>
  <si>
    <t>Steam Wallet Code THB 1000</t>
  </si>
  <si>
    <t>535117</t>
  </si>
  <si>
    <t>STEAMTHB2000</t>
  </si>
  <si>
    <t>STEAMTHB2000-S22-th</t>
  </si>
  <si>
    <t>Steam Wallet Code THB 2000</t>
  </si>
  <si>
    <t>1070234</t>
  </si>
  <si>
    <t>STEAMPHP2200</t>
  </si>
  <si>
    <t>STEAMPHP2200-S22</t>
  </si>
  <si>
    <t>Steam Wallet PHP 2200</t>
  </si>
  <si>
    <t>617933</t>
  </si>
  <si>
    <t>STEAMPHP2200-S22-ph</t>
  </si>
  <si>
    <t>STEAM6</t>
  </si>
  <si>
    <t>STEAM6-S22</t>
  </si>
  <si>
    <t>Steam Wallet IDR 6,000</t>
  </si>
  <si>
    <t>5979</t>
  </si>
  <si>
    <t>STEAM8</t>
  </si>
  <si>
    <t>STEAM8-S22</t>
  </si>
  <si>
    <t>Steam Wallet IDR 8,000</t>
  </si>
  <si>
    <t>8038</t>
  </si>
  <si>
    <t>STEAM12</t>
  </si>
  <si>
    <t>STEAM12-S22</t>
  </si>
  <si>
    <t>Steam Wallet IDR 12,000</t>
  </si>
  <si>
    <t>11958</t>
  </si>
  <si>
    <t>STEAMTHB50-S22</t>
  </si>
  <si>
    <t>STEAMTHB75-S22</t>
  </si>
  <si>
    <t>STEAMTHB100-S22</t>
  </si>
  <si>
    <t>STEAMTHB200-S22</t>
  </si>
  <si>
    <t>STEAMTHB350-S22</t>
  </si>
  <si>
    <t>STEAMTHB1000-S22</t>
  </si>
  <si>
    <t>STEAMTHB2000-S22</t>
  </si>
  <si>
    <t>STEAMSGD5-S22</t>
  </si>
  <si>
    <t>STEAMSGD10-S22</t>
  </si>
  <si>
    <t>STEAMSGD20-S22</t>
  </si>
  <si>
    <t>STEAMSGD30-S22</t>
  </si>
  <si>
    <t>STEAMSGD50-S22</t>
  </si>
  <si>
    <t>STEAMSGD75-S22</t>
  </si>
  <si>
    <t>STEAMVND75000-S22</t>
  </si>
  <si>
    <t>STEAMVND100000-S22</t>
  </si>
  <si>
    <t>STEAMVND120000-S22</t>
  </si>
  <si>
    <t>STEAMVND150000-S22</t>
  </si>
  <si>
    <t>STEAMVND200000-S22</t>
  </si>
  <si>
    <t>STEAMVND500000-S22</t>
  </si>
  <si>
    <t>STEAM45</t>
  </si>
  <si>
    <t>STEAM45-S22</t>
  </si>
  <si>
    <t>Steam Wallet IDR 45,000</t>
  </si>
  <si>
    <t>44843</t>
  </si>
  <si>
    <t>STEAM60</t>
  </si>
  <si>
    <t>STEAM60-S22</t>
  </si>
  <si>
    <t>Steam Wallet IDR 60,000</t>
  </si>
  <si>
    <t>58466</t>
  </si>
  <si>
    <t>STEAMMYR5-S22</t>
  </si>
  <si>
    <t>STEAMMYR8-S22</t>
  </si>
  <si>
    <t>STEAMMYR10-S22</t>
  </si>
  <si>
    <t>STEAMMYR16-S22</t>
  </si>
  <si>
    <t>STEAMMYR20-S22</t>
  </si>
  <si>
    <t>STEAMMYR24-S22</t>
  </si>
  <si>
    <t>STEAMMYR48-S22</t>
  </si>
  <si>
    <t>STEAMMYR50-S22</t>
  </si>
  <si>
    <t>215427</t>
  </si>
  <si>
    <t>STEAMMYR80-S22</t>
  </si>
  <si>
    <t>STEAMMYR100-S22</t>
  </si>
  <si>
    <t>STEAMMYR200-S22</t>
  </si>
  <si>
    <t>STEAM90</t>
  </si>
  <si>
    <t>STEAM90-S22</t>
  </si>
  <si>
    <t>Steam Wallet IDR 90,000</t>
  </si>
  <si>
    <t>88937</t>
  </si>
  <si>
    <t>STEAMMXN100</t>
  </si>
  <si>
    <t>STEAMMXN100-S16</t>
  </si>
  <si>
    <t>Steam Gift Card 100 MXN</t>
  </si>
  <si>
    <t>98704</t>
  </si>
  <si>
    <t>STEAMMXN200</t>
  </si>
  <si>
    <t>STEAMMXN200-S16</t>
  </si>
  <si>
    <t>Steam Gift Card 200 MXN</t>
  </si>
  <si>
    <t>197115</t>
  </si>
  <si>
    <t>STEAMMXN400</t>
  </si>
  <si>
    <t>STEAMMXN400-S16</t>
  </si>
  <si>
    <t>Steam Gift Card 400 MXN</t>
  </si>
  <si>
    <t>394629</t>
  </si>
  <si>
    <t>STEAMMXN600</t>
  </si>
  <si>
    <t>STEAMMXN600-S16</t>
  </si>
  <si>
    <t>Steam Gift Card 600 MXN</t>
  </si>
  <si>
    <t>591460</t>
  </si>
  <si>
    <t>STEAMMXN1000</t>
  </si>
  <si>
    <t>STEAMMXN1000-S16</t>
  </si>
  <si>
    <t>Steam Gift Card 1000 MXN</t>
  </si>
  <si>
    <t>985447</t>
  </si>
  <si>
    <t>STEAM27BRL</t>
  </si>
  <si>
    <t>STEAM27BRL-S16</t>
  </si>
  <si>
    <t>Steam 27 BRL</t>
  </si>
  <si>
    <t>91862</t>
  </si>
  <si>
    <t>STEAM27BRL-S16-br</t>
  </si>
  <si>
    <t>STEAM55BRL</t>
  </si>
  <si>
    <t>STEAM55BRL-S16</t>
  </si>
  <si>
    <t>Steam 55 BRL</t>
  </si>
  <si>
    <t>186460</t>
  </si>
  <si>
    <t>STEAM55BRL-S16-br</t>
  </si>
  <si>
    <t>STEAM110BRL</t>
  </si>
  <si>
    <t>STEAM110BRL-S16</t>
  </si>
  <si>
    <t>Steam 110 BRL</t>
  </si>
  <si>
    <t>367792</t>
  </si>
  <si>
    <t>STEAM110BRL-S16-br</t>
  </si>
  <si>
    <t>STEAM165BRL</t>
  </si>
  <si>
    <t>STEAM165BRL-S16</t>
  </si>
  <si>
    <t>Steam 165 BRL</t>
  </si>
  <si>
    <t>561447</t>
  </si>
  <si>
    <t>STEAM165BRL-S16-br</t>
  </si>
  <si>
    <t>STEAM275BRL</t>
  </si>
  <si>
    <t>STEAM275BRL-S16</t>
  </si>
  <si>
    <t>Steam 275 BRL</t>
  </si>
  <si>
    <t>939541</t>
  </si>
  <si>
    <t>STEAM275BRL-S16-br</t>
  </si>
  <si>
    <t>STEAM175INR</t>
  </si>
  <si>
    <t>STEAM175INR-S16</t>
  </si>
  <si>
    <t>Steam 175 INR</t>
  </si>
  <si>
    <t>35862</t>
  </si>
  <si>
    <t>STEAM250INR</t>
  </si>
  <si>
    <t>STEAM250INR-S16</t>
  </si>
  <si>
    <t>Steam 250 INR</t>
  </si>
  <si>
    <t>51947</t>
  </si>
  <si>
    <t>STEAM325INR</t>
  </si>
  <si>
    <t>STEAM325INR-S16</t>
  </si>
  <si>
    <t>Steam 325 INR</t>
  </si>
  <si>
    <t>65741</t>
  </si>
  <si>
    <t>STEAM500INR</t>
  </si>
  <si>
    <t>STEAM500INR-S16</t>
  </si>
  <si>
    <t>Steam 500 INR</t>
  </si>
  <si>
    <t>103969</t>
  </si>
  <si>
    <t>STEAM1000INR</t>
  </si>
  <si>
    <t>STEAM1000INR-S16</t>
  </si>
  <si>
    <t>Steam 1000 INR</t>
  </si>
  <si>
    <t>206804</t>
  </si>
  <si>
    <t>STEAM2500INR</t>
  </si>
  <si>
    <t>STEAM2500INR-S16</t>
  </si>
  <si>
    <t>Steam 2500 INR</t>
  </si>
  <si>
    <t>521171</t>
  </si>
  <si>
    <t>STEAM5000INR</t>
  </si>
  <si>
    <t>STEAM5000INR-S16</t>
  </si>
  <si>
    <t>Steam 5000 INR</t>
  </si>
  <si>
    <t>1044130</t>
  </si>
  <si>
    <t>STEAM120</t>
  </si>
  <si>
    <t>STEAM120-S22</t>
  </si>
  <si>
    <t>Steam Wallet IDR 120,000</t>
  </si>
  <si>
    <t>119582</t>
  </si>
  <si>
    <t>STEAMVND132500</t>
  </si>
  <si>
    <t>STEAMVND132500-S95</t>
  </si>
  <si>
    <t>Steam Wallet Code 132500 VND</t>
  </si>
  <si>
    <t>90841</t>
  </si>
  <si>
    <t>STEAMVND132500-S95-vn</t>
  </si>
  <si>
    <t>STEAM250</t>
  </si>
  <si>
    <t>STEAM250-S22</t>
  </si>
  <si>
    <t>Steam Wallet IDR 250,000</t>
  </si>
  <si>
    <t>247019</t>
  </si>
  <si>
    <t>STEAMVND265000</t>
  </si>
  <si>
    <t>STEAMVND265000-S95</t>
  </si>
  <si>
    <t>Steam Wallet Code 265000 VND</t>
  </si>
  <si>
    <t>181234</t>
  </si>
  <si>
    <t>STEAMVND265000-S95-vn</t>
  </si>
  <si>
    <t>STEAM400</t>
  </si>
  <si>
    <t>STEAM400-S22</t>
  </si>
  <si>
    <t>Steam Wallet IDR 400,000</t>
  </si>
  <si>
    <t>395045</t>
  </si>
  <si>
    <t>STEAMVND530000</t>
  </si>
  <si>
    <t>STEAMVND530000-S95</t>
  </si>
  <si>
    <t>Steam Wallet Code 530000 VND</t>
  </si>
  <si>
    <t>362110</t>
  </si>
  <si>
    <t>STEAMVND530000-S95-vn</t>
  </si>
  <si>
    <t>STEAM600</t>
  </si>
  <si>
    <t>STEAM600-S22</t>
  </si>
  <si>
    <t>Steam Wallet IDR 600,000</t>
  </si>
  <si>
    <t>584659</t>
  </si>
  <si>
    <t>STEAMUSD20-S16</t>
  </si>
  <si>
    <t>STEAMUSD30-S16</t>
  </si>
  <si>
    <t>STEAMUSD50-S16</t>
  </si>
  <si>
    <t>STEAMUSD100-S16</t>
  </si>
  <si>
    <t>STEAMVND800000</t>
  </si>
  <si>
    <t>STEAMVND800000-S95</t>
  </si>
  <si>
    <t>Steam Wallet Code 800000 VND</t>
  </si>
  <si>
    <t>546343</t>
  </si>
  <si>
    <t>STEAMVND800000-S95-vn</t>
  </si>
  <si>
    <t>STEAMHKD40</t>
  </si>
  <si>
    <t>STEAMHKD40-S22</t>
  </si>
  <si>
    <t>Steam 40 HKD</t>
  </si>
  <si>
    <t>87982</t>
  </si>
  <si>
    <t>STEAMHKD50</t>
  </si>
  <si>
    <t>STEAMHKD50-S22</t>
  </si>
  <si>
    <t>Steam 50 HKD</t>
  </si>
  <si>
    <t>109978</t>
  </si>
  <si>
    <t>STEAMHKD80</t>
  </si>
  <si>
    <t>STEAMHKD80-S22</t>
  </si>
  <si>
    <t>Steam 80 HKD</t>
  </si>
  <si>
    <t>175964</t>
  </si>
  <si>
    <t>STEAMHKD100</t>
  </si>
  <si>
    <t>STEAMHKD100-S22</t>
  </si>
  <si>
    <t>Steam 100 HKD</t>
  </si>
  <si>
    <t>219955</t>
  </si>
  <si>
    <t>STEAMHKD200</t>
  </si>
  <si>
    <t>STEAMHKD200-S22</t>
  </si>
  <si>
    <t>Steam 200 HKD</t>
  </si>
  <si>
    <t>439911</t>
  </si>
  <si>
    <t>STEAMHKD300</t>
  </si>
  <si>
    <t>STEAMHKD300-S22</t>
  </si>
  <si>
    <t>Steam 300 HKD</t>
  </si>
  <si>
    <t>633735</t>
  </si>
  <si>
    <t>STEAMHKD400</t>
  </si>
  <si>
    <t>STEAMHKD400-S22</t>
  </si>
  <si>
    <t>Steam 400 HKD</t>
  </si>
  <si>
    <t>844980</t>
  </si>
  <si>
    <t>STEAMHKD500</t>
  </si>
  <si>
    <t>STEAMHKD500-S22</t>
  </si>
  <si>
    <t>Steam 500 HKD</t>
  </si>
  <si>
    <t>1097830</t>
  </si>
  <si>
    <t>STEAMHKD1000</t>
  </si>
  <si>
    <t>STEAMHKD1000-S22</t>
  </si>
  <si>
    <t>Steam 1000 HKD</t>
  </si>
  <si>
    <t>2198625</t>
  </si>
  <si>
    <t>STEAMVND1320500</t>
  </si>
  <si>
    <t>STEAMVND1320500-S95</t>
  </si>
  <si>
    <t>Steam Wallet Code 1320500 VND</t>
  </si>
  <si>
    <t>901558</t>
  </si>
  <si>
    <t>STEAMVND1320500-S95-vn</t>
  </si>
  <si>
    <t>CODM</t>
  </si>
  <si>
    <t>Call of Duty Mobile</t>
  </si>
  <si>
    <t>CODM31</t>
  </si>
  <si>
    <t>CODM31-S132</t>
  </si>
  <si>
    <t>31 CP</t>
  </si>
  <si>
    <t>4217</t>
  </si>
  <si>
    <t>CODM63</t>
  </si>
  <si>
    <t>CODM63-S132</t>
  </si>
  <si>
    <t>63 CP</t>
  </si>
  <si>
    <t>8434</t>
  </si>
  <si>
    <t>CODM63-S24A</t>
  </si>
  <si>
    <t>8823</t>
  </si>
  <si>
    <t>CODM114</t>
  </si>
  <si>
    <t>CODM114-S40A-my</t>
  </si>
  <si>
    <t>114 CP</t>
  </si>
  <si>
    <t>20385</t>
  </si>
  <si>
    <t>CODM114-S40A-sg</t>
  </si>
  <si>
    <t>CODM128</t>
  </si>
  <si>
    <t>CODM128-S24A</t>
  </si>
  <si>
    <t>128 CP</t>
  </si>
  <si>
    <t>17646</t>
  </si>
  <si>
    <t>CODM128-S132</t>
  </si>
  <si>
    <t>16867</t>
  </si>
  <si>
    <t>CODM230_23</t>
  </si>
  <si>
    <t>CODM230_23-S40A-my</t>
  </si>
  <si>
    <t>230 CP + 23 Bonus</t>
  </si>
  <si>
    <t>40769</t>
  </si>
  <si>
    <t>CODM230_23-S40A-sg</t>
  </si>
  <si>
    <t>CODM321</t>
  </si>
  <si>
    <t>CODM321-S132</t>
  </si>
  <si>
    <t>321 CP</t>
  </si>
  <si>
    <t>42168</t>
  </si>
  <si>
    <t>CODM321-S24A</t>
  </si>
  <si>
    <t>44115</t>
  </si>
  <si>
    <t>CODM460_69</t>
  </si>
  <si>
    <t>CODM460_69-S40A-my</t>
  </si>
  <si>
    <t>460 CP + 69 Bonus</t>
  </si>
  <si>
    <t>81538</t>
  </si>
  <si>
    <t>CODM460_69-S40A-sg</t>
  </si>
  <si>
    <t>CODM645</t>
  </si>
  <si>
    <t>CODM645-S24A</t>
  </si>
  <si>
    <t>645 CP</t>
  </si>
  <si>
    <t>88230</t>
  </si>
  <si>
    <t>CODM645-S132</t>
  </si>
  <si>
    <t>84335</t>
  </si>
  <si>
    <t>CODM690_104</t>
  </si>
  <si>
    <t>CODM690_104-S40A-my</t>
  </si>
  <si>
    <t>690 CP + 104 Bonus</t>
  </si>
  <si>
    <t>122306</t>
  </si>
  <si>
    <t>CODM690_104-S40A-sg</t>
  </si>
  <si>
    <t>CODM800</t>
  </si>
  <si>
    <t>CODM800-S132</t>
  </si>
  <si>
    <t>800 CP</t>
  </si>
  <si>
    <t>101202</t>
  </si>
  <si>
    <t>CODM800-S24A</t>
  </si>
  <si>
    <t>105876</t>
  </si>
  <si>
    <t>CODM1150_173</t>
  </si>
  <si>
    <t>CODM1150_173-S40A-my</t>
  </si>
  <si>
    <t>1150 CP + 173 Bonus</t>
  </si>
  <si>
    <t>203844</t>
  </si>
  <si>
    <t>CODM1150_173-S40A-sg</t>
  </si>
  <si>
    <t>CODM1373</t>
  </si>
  <si>
    <t>CODM1373-S24A</t>
  </si>
  <si>
    <t>1373 CP</t>
  </si>
  <si>
    <t>176460</t>
  </si>
  <si>
    <t>CODM1373-S132</t>
  </si>
  <si>
    <t>168670</t>
  </si>
  <si>
    <t>CODM2060</t>
  </si>
  <si>
    <t>CODM2060-S132</t>
  </si>
  <si>
    <t>2060 CP</t>
  </si>
  <si>
    <t>253005</t>
  </si>
  <si>
    <t>CODM2060-S24A</t>
  </si>
  <si>
    <t>264690</t>
  </si>
  <si>
    <t>CODM2300_460</t>
  </si>
  <si>
    <t>CODM2300_460-S40A-my</t>
  </si>
  <si>
    <t>2300 CP + 460 Bonus</t>
  </si>
  <si>
    <t>407687</t>
  </si>
  <si>
    <t>CODM2300_460-S40A-sg</t>
  </si>
  <si>
    <t>CODM2750</t>
  </si>
  <si>
    <t>CODM2750-S24A</t>
  </si>
  <si>
    <t>2750 CP</t>
  </si>
  <si>
    <t>335274</t>
  </si>
  <si>
    <t>CODM2750-S132</t>
  </si>
  <si>
    <t>320473</t>
  </si>
  <si>
    <t>CODM3564</t>
  </si>
  <si>
    <t>CODM3564-S132</t>
  </si>
  <si>
    <t>3564 CP</t>
  </si>
  <si>
    <t>421675</t>
  </si>
  <si>
    <t>CODM3564-S24A</t>
  </si>
  <si>
    <t>441150</t>
  </si>
  <si>
    <t>CODM4600_1840</t>
  </si>
  <si>
    <t>CODM4600_1840-S40A-my</t>
  </si>
  <si>
    <t>4600 CP + 1840 Bonus</t>
  </si>
  <si>
    <t>815373</t>
  </si>
  <si>
    <t>CODM4600_1840-S40A-sg</t>
  </si>
  <si>
    <t>CODM5619</t>
  </si>
  <si>
    <t>CODM5619-S132</t>
  </si>
  <si>
    <t>5619 CP</t>
  </si>
  <si>
    <t>615646</t>
  </si>
  <si>
    <t>CODM5619-S24A</t>
  </si>
  <si>
    <t>644079</t>
  </si>
  <si>
    <t>CODM7656</t>
  </si>
  <si>
    <t>CODM7656-S24A</t>
  </si>
  <si>
    <t>7656 CP</t>
  </si>
  <si>
    <t>882300</t>
  </si>
  <si>
    <t>CODM7656-S132</t>
  </si>
  <si>
    <t>843350</t>
  </si>
  <si>
    <t>CODM15312</t>
  </si>
  <si>
    <t>CODM15312-S24A</t>
  </si>
  <si>
    <t>15312 CP</t>
  </si>
  <si>
    <t>1764600</t>
  </si>
  <si>
    <t>CODM38280</t>
  </si>
  <si>
    <t>CODM38280-S24A</t>
  </si>
  <si>
    <t>38280 CP</t>
  </si>
  <si>
    <t>4411500</t>
  </si>
  <si>
    <t>CODM76560</t>
  </si>
  <si>
    <t>CODM76560-S24A</t>
  </si>
  <si>
    <t>76560 CP</t>
  </si>
  <si>
    <t>8823000</t>
  </si>
  <si>
    <t>CODM63-S113</t>
  </si>
  <si>
    <t>9131</t>
  </si>
  <si>
    <t>CODM128-S113</t>
  </si>
  <si>
    <t>18262</t>
  </si>
  <si>
    <t>CODM321-S113</t>
  </si>
  <si>
    <t>45655</t>
  </si>
  <si>
    <t>CODM645-S113</t>
  </si>
  <si>
    <t>91309</t>
  </si>
  <si>
    <t>CODM1373-S113</t>
  </si>
  <si>
    <t>182618</t>
  </si>
  <si>
    <t>CODM2060-S113</t>
  </si>
  <si>
    <t>273927</t>
  </si>
  <si>
    <t>CODM3564-S113</t>
  </si>
  <si>
    <t>456545</t>
  </si>
  <si>
    <t>CODM7656-S113</t>
  </si>
  <si>
    <t>913091</t>
  </si>
  <si>
    <t>CODMPH</t>
  </si>
  <si>
    <t>Voucher Call of Duty Mobile</t>
  </si>
  <si>
    <t>VGS65</t>
  </si>
  <si>
    <t>VGS65-S95-my</t>
  </si>
  <si>
    <t>Garena 65 Shells MY</t>
  </si>
  <si>
    <t>21490</t>
  </si>
  <si>
    <t>VGS130</t>
  </si>
  <si>
    <t>VGS130-S95-my</t>
  </si>
  <si>
    <t>Garena 130 Shells MY</t>
  </si>
  <si>
    <t>42980</t>
  </si>
  <si>
    <t>VGS260</t>
  </si>
  <si>
    <t>VGS260-S95-my</t>
  </si>
  <si>
    <t>Garena 260 Shells MY</t>
  </si>
  <si>
    <t>85961</t>
  </si>
  <si>
    <t>VGS390</t>
  </si>
  <si>
    <t>VGS390-S95-my</t>
  </si>
  <si>
    <t>Garena 390 Shells MY</t>
  </si>
  <si>
    <t>128941</t>
  </si>
  <si>
    <t>VGS650</t>
  </si>
  <si>
    <t>VGS650-S95-my</t>
  </si>
  <si>
    <t>Garena 650 Shells MY</t>
  </si>
  <si>
    <t>214902</t>
  </si>
  <si>
    <t>VGS1300</t>
  </si>
  <si>
    <t>VGS1300-S95-my</t>
  </si>
  <si>
    <t>Garena 1300 Shells MY</t>
  </si>
  <si>
    <t>429804</t>
  </si>
  <si>
    <t>VGS2600</t>
  </si>
  <si>
    <t>VGS2600-S95-my</t>
  </si>
  <si>
    <t>Garena 2600 Shells MY</t>
  </si>
  <si>
    <t>859607</t>
  </si>
  <si>
    <t>VPSN</t>
  </si>
  <si>
    <t>PlayStation® Gift Card</t>
  </si>
  <si>
    <t>VPSNUSA1</t>
  </si>
  <si>
    <t>VPSNUSA1-S130</t>
  </si>
  <si>
    <t>PlayStation USA 1 USD</t>
  </si>
  <si>
    <t>18190</t>
  </si>
  <si>
    <t>VPSNHKD20</t>
  </si>
  <si>
    <t>VPSNHKD20-S16</t>
  </si>
  <si>
    <t>PlayStation 20 HKD</t>
  </si>
  <si>
    <t>45601</t>
  </si>
  <si>
    <t>VPSNIDR100000</t>
  </si>
  <si>
    <t>VPSNIDR100000-S118</t>
  </si>
  <si>
    <t>PlayStation IDR 100,000</t>
  </si>
  <si>
    <t>93423</t>
  </si>
  <si>
    <t>VPSNUSA5</t>
  </si>
  <si>
    <t>VPSNUSA5-S16</t>
  </si>
  <si>
    <t>PlayStation USA 5 USD</t>
  </si>
  <si>
    <t>105717</t>
  </si>
  <si>
    <t>VPSNUSA5-S16-us</t>
  </si>
  <si>
    <t>VPSNTRY250</t>
  </si>
  <si>
    <t>VPSNTRY250-S16</t>
  </si>
  <si>
    <t>PlayStation TR 250 TRY</t>
  </si>
  <si>
    <t>107262</t>
  </si>
  <si>
    <t>VPSNBRL35</t>
  </si>
  <si>
    <t>VPSNBRL35-S16</t>
  </si>
  <si>
    <t>PlayStation Brazil 35 BRL</t>
  </si>
  <si>
    <t>117053</t>
  </si>
  <si>
    <t>VPSNBRL35-S16-br</t>
  </si>
  <si>
    <t>PSN30RM</t>
  </si>
  <si>
    <t>PSN30RM-S22-my</t>
  </si>
  <si>
    <t>PlayStation Card RM30</t>
  </si>
  <si>
    <t>124634</t>
  </si>
  <si>
    <t>PSN30RM-S11-my</t>
  </si>
  <si>
    <t>127276</t>
  </si>
  <si>
    <t>VPSNJP1100</t>
  </si>
  <si>
    <t>VPSNJP1100-S16</t>
  </si>
  <si>
    <t>PlayStation Japan 1100 JPY</t>
  </si>
  <si>
    <t>132059</t>
  </si>
  <si>
    <t>VPSNHKD80</t>
  </si>
  <si>
    <t>VPSNHKD80-S16</t>
  </si>
  <si>
    <t>PlayStation 80 HKD</t>
  </si>
  <si>
    <t>180774</t>
  </si>
  <si>
    <t>VPSNIDR200000</t>
  </si>
  <si>
    <t>VPSNIDR200000-S118</t>
  </si>
  <si>
    <t>PlayStation IDR 200,000</t>
  </si>
  <si>
    <t>186845</t>
  </si>
  <si>
    <t>VPSNFR10</t>
  </si>
  <si>
    <t>VPSNFR10-S16</t>
  </si>
  <si>
    <t>PlayStation FR 10 EUR</t>
  </si>
  <si>
    <t>201366</t>
  </si>
  <si>
    <t>VPSNIE10</t>
  </si>
  <si>
    <t>VPSNIE10-S16</t>
  </si>
  <si>
    <t>PlayStation IE 10 EUR</t>
  </si>
  <si>
    <t>203555</t>
  </si>
  <si>
    <t>VPSNBRL60</t>
  </si>
  <si>
    <t>VPSNBRL60-S16</t>
  </si>
  <si>
    <t>PlayStation Brazil 60 BRL</t>
  </si>
  <si>
    <t>205014</t>
  </si>
  <si>
    <t>VPSNBRL60-S16-br</t>
  </si>
  <si>
    <t>PSN50RM</t>
  </si>
  <si>
    <t>PSN50RM-S22-my</t>
  </si>
  <si>
    <t>PlayStation Card RM50</t>
  </si>
  <si>
    <t>207723</t>
  </si>
  <si>
    <t>VPSNIDR225000</t>
  </si>
  <si>
    <t>VPSNIDR225000-S118</t>
  </si>
  <si>
    <t>PlayStation IDR 225,000</t>
  </si>
  <si>
    <t>210201</t>
  </si>
  <si>
    <t>PSN15SGD</t>
  </si>
  <si>
    <t>PSN15SGD-S95-sg</t>
  </si>
  <si>
    <t>PlayStation Card 15 SGD</t>
  </si>
  <si>
    <t>211007</t>
  </si>
  <si>
    <t>PSN50RM-S11-my</t>
  </si>
  <si>
    <t>212126</t>
  </si>
  <si>
    <t>VPSNTRY500</t>
  </si>
  <si>
    <t>VPSNTRY500-S16</t>
  </si>
  <si>
    <t>PlayStation TR 500 TRY</t>
  </si>
  <si>
    <t>214691</t>
  </si>
  <si>
    <t>VPSNDE15</t>
  </si>
  <si>
    <t>VPSNDE15-S16</t>
  </si>
  <si>
    <t>PlayStation DE 15 EUR</t>
  </si>
  <si>
    <t>269927</t>
  </si>
  <si>
    <t>VPSNDE15-S16-de</t>
  </si>
  <si>
    <t>VPSNIDR300000</t>
  </si>
  <si>
    <t>VPSNIDR300000-S118</t>
  </si>
  <si>
    <t>PlayStation IDR 300,000</t>
  </si>
  <si>
    <t>280268</t>
  </si>
  <si>
    <t>PSN20SGD</t>
  </si>
  <si>
    <t>PSN20SGD-S95-sg</t>
  </si>
  <si>
    <t>PlayStation Card 20 SGD</t>
  </si>
  <si>
    <t>295714</t>
  </si>
  <si>
    <t>PSN20SGD-S95-ph</t>
  </si>
  <si>
    <t>VPSNTRY750</t>
  </si>
  <si>
    <t>VPSNTRY750-S16</t>
  </si>
  <si>
    <t>PlayStation TR 750 TRY</t>
  </si>
  <si>
    <t>321812</t>
  </si>
  <si>
    <t>VPSNBRL100</t>
  </si>
  <si>
    <t>VPSNBRL100-S16</t>
  </si>
  <si>
    <t>PlayStation Brazil 100 BRL</t>
  </si>
  <si>
    <t>328102</t>
  </si>
  <si>
    <t>VPSNBRL100-S16-br</t>
  </si>
  <si>
    <t>VPSNHKD150</t>
  </si>
  <si>
    <t>VPSNHKD150-S16</t>
  </si>
  <si>
    <t>PlayStation 150 HKD</t>
  </si>
  <si>
    <t>338929</t>
  </si>
  <si>
    <t>VPSNJP3000</t>
  </si>
  <si>
    <t>VPSNJP3000-S16</t>
  </si>
  <si>
    <t>PlayStation Japan 3000 JPY</t>
  </si>
  <si>
    <t>360165</t>
  </si>
  <si>
    <t>VPSNDE20</t>
  </si>
  <si>
    <t>VPSNDE20-S16</t>
  </si>
  <si>
    <t>PlayStation DE 20 EUR</t>
  </si>
  <si>
    <t>360252</t>
  </si>
  <si>
    <t>VPSNDE20-S16-de</t>
  </si>
  <si>
    <t>VPSNFR20</t>
  </si>
  <si>
    <t>VPSNFR20-S16</t>
  </si>
  <si>
    <t>PlayStation FR 20 EUR</t>
  </si>
  <si>
    <t>411809</t>
  </si>
  <si>
    <t>VPSNIE20</t>
  </si>
  <si>
    <t>VPSNIE20-S16</t>
  </si>
  <si>
    <t>PlayStation IE 20 EUR</t>
  </si>
  <si>
    <t>416287</t>
  </si>
  <si>
    <t>VPSNUSA25</t>
  </si>
  <si>
    <t>VPSNUSA25-S16</t>
  </si>
  <si>
    <t>PlayStation USA 25 USD</t>
  </si>
  <si>
    <t>428066</t>
  </si>
  <si>
    <t>VPSNUSA25-S16-us</t>
  </si>
  <si>
    <t>PSN100RM</t>
  </si>
  <si>
    <t>PSN100RM-S11-my</t>
  </si>
  <si>
    <t>PlayStation Card RM100</t>
  </si>
  <si>
    <t>424253</t>
  </si>
  <si>
    <t>VPSNTRY1000</t>
  </si>
  <si>
    <t>VPSNTRY1000-S16</t>
  </si>
  <si>
    <t>PlayStation TR 1000 TRY</t>
  </si>
  <si>
    <t>428859</t>
  </si>
  <si>
    <t>PSN30SGD</t>
  </si>
  <si>
    <t>PSN30SGD-S95-sg</t>
  </si>
  <si>
    <t>PlayStation Card 30 SGD</t>
  </si>
  <si>
    <t>443593</t>
  </si>
  <si>
    <t>PSN30SGD-S95-ph</t>
  </si>
  <si>
    <t>VPSNHKD200</t>
  </si>
  <si>
    <t>VPSNHKD200-S16</t>
  </si>
  <si>
    <t>PlayStation 200 HKD</t>
  </si>
  <si>
    <t>451846</t>
  </si>
  <si>
    <t>VPSNBRL150</t>
  </si>
  <si>
    <t>VPSNBRL150-S16-br</t>
  </si>
  <si>
    <t>PlayStation Brazil 150 BRL</t>
  </si>
  <si>
    <t>489332</t>
  </si>
  <si>
    <t>VPSNBRL150-S16</t>
  </si>
  <si>
    <t>VPSNFR25</t>
  </si>
  <si>
    <t>VPSNFR25-S16</t>
  </si>
  <si>
    <t>PlayStation FR 25 EUR</t>
  </si>
  <si>
    <t>503416</t>
  </si>
  <si>
    <t>VPSNTH1000</t>
  </si>
  <si>
    <t>VPSNTH1000-S16-th</t>
  </si>
  <si>
    <t>PSN TH 1000 THB</t>
  </si>
  <si>
    <t>528332</t>
  </si>
  <si>
    <t>VPSNIDR600000</t>
  </si>
  <si>
    <t>VPSNIDR600000-S118</t>
  </si>
  <si>
    <t>PlayStation IDR 600,000</t>
  </si>
  <si>
    <t>560536</t>
  </si>
  <si>
    <t>PSN40SGD</t>
  </si>
  <si>
    <t>PSN40SGD-S95-sg</t>
  </si>
  <si>
    <t>PlayStation Card 40 SGD</t>
  </si>
  <si>
    <t>591293</t>
  </si>
  <si>
    <t>PSN40SGD-S95-ph</t>
  </si>
  <si>
    <t>VPSNJP5000</t>
  </si>
  <si>
    <t>VPSNJP5000-S16</t>
  </si>
  <si>
    <t>PlayStation Japan 5000 JPY</t>
  </si>
  <si>
    <t>600273</t>
  </si>
  <si>
    <t>VPSNTRY1500</t>
  </si>
  <si>
    <t>VPSNTRY1500-S16</t>
  </si>
  <si>
    <t>PlayStation TR 1500 TRY</t>
  </si>
  <si>
    <t>642893</t>
  </si>
  <si>
    <t>VPSNDE35</t>
  </si>
  <si>
    <t>VPSNDE35-S16</t>
  </si>
  <si>
    <t>PlayStation DE 35 EUR</t>
  </si>
  <si>
    <t>652432</t>
  </si>
  <si>
    <t>VPSNDE35-S16-de</t>
  </si>
  <si>
    <t>VPSNHKD300</t>
  </si>
  <si>
    <t>VPSNHKD300-S16</t>
  </si>
  <si>
    <t>PlayStation 300 HKD</t>
  </si>
  <si>
    <t>677678</t>
  </si>
  <si>
    <t>PSN50SGD</t>
  </si>
  <si>
    <t>PSN50SGD-S95-sg</t>
  </si>
  <si>
    <t>PlayStation Card 50 SGD</t>
  </si>
  <si>
    <t>739128</t>
  </si>
  <si>
    <t>PSN50SGD-S95-ph</t>
  </si>
  <si>
    <t>VPSNUSA45</t>
  </si>
  <si>
    <t>VPSNUSA45-S16</t>
  </si>
  <si>
    <t>PlayStation USA 45 USD</t>
  </si>
  <si>
    <t>776566</t>
  </si>
  <si>
    <t>VPSNUSA45-S16-us</t>
  </si>
  <si>
    <t>PSN200RM</t>
  </si>
  <si>
    <t>PSN200RM-S22-my</t>
  </si>
  <si>
    <t>PlayStation Card RM200</t>
  </si>
  <si>
    <t>830484</t>
  </si>
  <si>
    <t>PSN200RM-S11-my</t>
  </si>
  <si>
    <t>848505</t>
  </si>
  <si>
    <t>VPSNBRL250</t>
  </si>
  <si>
    <t>VPSNBRL250-S16-br</t>
  </si>
  <si>
    <t>PlayStation Brazil 250 BRL</t>
  </si>
  <si>
    <t>849185</t>
  </si>
  <si>
    <t>VPSNBRL250-S16</t>
  </si>
  <si>
    <t>VPSNTRY2000</t>
  </si>
  <si>
    <t>VPSNTRY2000-S16</t>
  </si>
  <si>
    <t>PlayStation TR 2000 TRY</t>
  </si>
  <si>
    <t>855466</t>
  </si>
  <si>
    <t>VPSNUSA50</t>
  </si>
  <si>
    <t>VPSNUSA50-S16</t>
  </si>
  <si>
    <t>PlayStation USA 50 USD</t>
  </si>
  <si>
    <t>856131</t>
  </si>
  <si>
    <t>VPSNUSA50-S16-us</t>
  </si>
  <si>
    <t>VPSNGBP40</t>
  </si>
  <si>
    <t>VPSNGBP40-S16</t>
  </si>
  <si>
    <t>PlayStation UK 40 GBP</t>
  </si>
  <si>
    <t>864494</t>
  </si>
  <si>
    <t>United Kingdom</t>
  </si>
  <si>
    <t>VPSNGBP40-S16-gb</t>
  </si>
  <si>
    <t>VPSNDE50</t>
  </si>
  <si>
    <t>VPSNDE50-S16-de</t>
  </si>
  <si>
    <t>PlayStation DE 50 EUR</t>
  </si>
  <si>
    <t>879884</t>
  </si>
  <si>
    <t>VPSNIDR1000000</t>
  </si>
  <si>
    <t>VPSNIDR1000000-S118</t>
  </si>
  <si>
    <t>PlayStation IDR 1,000,000</t>
  </si>
  <si>
    <t>934227</t>
  </si>
  <si>
    <t>VPSNBRL300</t>
  </si>
  <si>
    <t>VPSNBRL300-S16-br</t>
  </si>
  <si>
    <t>PlayStation Brazil 300 BRL</t>
  </si>
  <si>
    <t>972341</t>
  </si>
  <si>
    <t>VPSNBRL300-S16</t>
  </si>
  <si>
    <t>VPSNFR50</t>
  </si>
  <si>
    <t>VPSNFR50-S16</t>
  </si>
  <si>
    <t>PlayStation FR 50 EUR</t>
  </si>
  <si>
    <t>1026838</t>
  </si>
  <si>
    <t>PSN250RM</t>
  </si>
  <si>
    <t>PSN250RM-S22-my</t>
  </si>
  <si>
    <t>PlayStation Card RM250</t>
  </si>
  <si>
    <t>1037340</t>
  </si>
  <si>
    <t>VPSNIE50</t>
  </si>
  <si>
    <t>VPSNIE50-S16</t>
  </si>
  <si>
    <t>PlayStation IE 50 EUR</t>
  </si>
  <si>
    <t>1040714</t>
  </si>
  <si>
    <t>VPSNDE60</t>
  </si>
  <si>
    <t>VPSNDE60-S16</t>
  </si>
  <si>
    <t>PlayStation DE 60 EUR</t>
  </si>
  <si>
    <t>1057098</t>
  </si>
  <si>
    <t>VPSNDE60-S16-de</t>
  </si>
  <si>
    <t>PSN250RM-S11-my</t>
  </si>
  <si>
    <t>1060631</t>
  </si>
  <si>
    <t>VPSNTRY2500</t>
  </si>
  <si>
    <t>VPSNTRY2500-S16</t>
  </si>
  <si>
    <t>PlayStation TR 2500 TRY</t>
  </si>
  <si>
    <t>1070206</t>
  </si>
  <si>
    <t>VPSNGBP50</t>
  </si>
  <si>
    <t>VPSNGBP50-S16</t>
  </si>
  <si>
    <t>PlayStation UK 50 GBP</t>
  </si>
  <si>
    <t>1077467</t>
  </si>
  <si>
    <t>VPSNGBP50-S16-gb</t>
  </si>
  <si>
    <t>VPSNHKD500</t>
  </si>
  <si>
    <t>VPSNHKD500-S16</t>
  </si>
  <si>
    <t>PlayStation 500 HKD</t>
  </si>
  <si>
    <t>1108714</t>
  </si>
  <si>
    <t>VPSNEVENTMARKETING1</t>
  </si>
  <si>
    <t>VPSNEVENTMARKETING1-S118</t>
  </si>
  <si>
    <t>Preorder GTA VI Standard Edition</t>
  </si>
  <si>
    <t>1121072</t>
  </si>
  <si>
    <t>VPSNBRL360</t>
  </si>
  <si>
    <t>VPSNBRL360-S16-br</t>
  </si>
  <si>
    <t>PlayStation Brazil 360 BRL</t>
  </si>
  <si>
    <t>1177770</t>
  </si>
  <si>
    <t>VPSNBRL360-S16</t>
  </si>
  <si>
    <t>VPSNJP10000</t>
  </si>
  <si>
    <t>VPSNJP10000-S16</t>
  </si>
  <si>
    <t>PlayStation Japan 10000 JPY</t>
  </si>
  <si>
    <t>1200546</t>
  </si>
  <si>
    <t>VPSNFR60</t>
  </si>
  <si>
    <t>VPSNFR60-S16</t>
  </si>
  <si>
    <t>PlayStation FR 60 EUR</t>
  </si>
  <si>
    <t>1208196</t>
  </si>
  <si>
    <t>VPSNIE60</t>
  </si>
  <si>
    <t>VPSNIE60-S16</t>
  </si>
  <si>
    <t>PlayStation IE 60 EUR</t>
  </si>
  <si>
    <t>1221329</t>
  </si>
  <si>
    <t>PSN80SGD</t>
  </si>
  <si>
    <t>PSN80SGD-S95-sg</t>
  </si>
  <si>
    <t>PlayStation Card 80 SGD</t>
  </si>
  <si>
    <t>1186482</t>
  </si>
  <si>
    <t>PSN80SGD-S95-ph</t>
  </si>
  <si>
    <t>PSN300RM</t>
  </si>
  <si>
    <t>PSN300RM-S22-my</t>
  </si>
  <si>
    <t>PlayStation Card RM300</t>
  </si>
  <si>
    <t>1246338</t>
  </si>
  <si>
    <t>PSN300RM-S11-my</t>
  </si>
  <si>
    <t>1272758</t>
  </si>
  <si>
    <t>VPSNUSA75</t>
  </si>
  <si>
    <t>VPSNUSA75-S16</t>
  </si>
  <si>
    <t>PlayStation USA 75 USD</t>
  </si>
  <si>
    <t>1284197</t>
  </si>
  <si>
    <t>VPSNTRY3000</t>
  </si>
  <si>
    <t>VPSNTRY3000-S16</t>
  </si>
  <si>
    <t>PlayStation TR 3000 TRY</t>
  </si>
  <si>
    <t>1287004</t>
  </si>
  <si>
    <t>VPSNTH2500</t>
  </si>
  <si>
    <t>VPSNTH2500-S16-th</t>
  </si>
  <si>
    <t>PSN TH 2500 THB</t>
  </si>
  <si>
    <t>1295124</t>
  </si>
  <si>
    <t>VPSNBRL400</t>
  </si>
  <si>
    <t>VPSNBRL400-S16-br</t>
  </si>
  <si>
    <t>PlayStation Brazil 400 BRL</t>
  </si>
  <si>
    <t>1307924</t>
  </si>
  <si>
    <t>VPSNBRL400-S16</t>
  </si>
  <si>
    <t>VPSNUSA75-S16-us</t>
  </si>
  <si>
    <t>VPSNDE80</t>
  </si>
  <si>
    <t>VPSNDE80-S16</t>
  </si>
  <si>
    <t>PlayStation DE 80 EUR</t>
  </si>
  <si>
    <t>1398871</t>
  </si>
  <si>
    <t>VPSNDE80-S16-de</t>
  </si>
  <si>
    <t>VPSNDE75</t>
  </si>
  <si>
    <t>VPSNDE75-S16-de</t>
  </si>
  <si>
    <t>PlayStation DE 75 EUR</t>
  </si>
  <si>
    <t>1400568</t>
  </si>
  <si>
    <t>VPSN1500000IDR</t>
  </si>
  <si>
    <t>VPSN1500000IDR-S118</t>
  </si>
  <si>
    <t>PlayStation IDR 1,500,000</t>
  </si>
  <si>
    <t>1401340</t>
  </si>
  <si>
    <t>VPSNEVENTMARKETING2</t>
  </si>
  <si>
    <t>VPSNEVENTMARKETING2-S118</t>
  </si>
  <si>
    <t>Preorder GTA VI Ultimate Edition</t>
  </si>
  <si>
    <t>VPSNGBP70</t>
  </si>
  <si>
    <t>VPSNGBP70-S16</t>
  </si>
  <si>
    <t>PlayStation UK 70 GBP</t>
  </si>
  <si>
    <t>1486068</t>
  </si>
  <si>
    <t>VPSNGBP70-S16-gb</t>
  </si>
  <si>
    <t>PSN100SGD</t>
  </si>
  <si>
    <t>PSN100SGD-S95-sg</t>
  </si>
  <si>
    <t>PlayStation Card 100 SGD</t>
  </si>
  <si>
    <t>1481032</t>
  </si>
  <si>
    <t>PSN100SGD-S95-ph</t>
  </si>
  <si>
    <t>VPSNIE80</t>
  </si>
  <si>
    <t>VPSNIE80-S16</t>
  </si>
  <si>
    <t>PlayStation IE 80 EUR</t>
  </si>
  <si>
    <t>1628438</t>
  </si>
  <si>
    <t>VPSNFR80</t>
  </si>
  <si>
    <t>VPSNFR80-S16</t>
  </si>
  <si>
    <t>PlayStation FR 80 EUR</t>
  </si>
  <si>
    <t>VPSNPPE12MSUS</t>
  </si>
  <si>
    <t>VPSNPPE12MSUS-S127</t>
  </si>
  <si>
    <t>PlayStation Plus Essential 12 Months Subscription US</t>
  </si>
  <si>
    <t>1688794</t>
  </si>
  <si>
    <t>VPSNHKD750</t>
  </si>
  <si>
    <t>VPSNHKD750-S16</t>
  </si>
  <si>
    <t>PlayStation 750 HKD</t>
  </si>
  <si>
    <t>1694104</t>
  </si>
  <si>
    <t>VPSNBRL530</t>
  </si>
  <si>
    <t>VPSNBRL530-S16-br</t>
  </si>
  <si>
    <t>PlayStation Brazil 530 BRL</t>
  </si>
  <si>
    <t>1712346</t>
  </si>
  <si>
    <t>VPSNBRL530-S16</t>
  </si>
  <si>
    <t>VPSNTRY4000</t>
  </si>
  <si>
    <t>VPSNTRY4000-S16</t>
  </si>
  <si>
    <t>PlayStation TR 4000 TRY</t>
  </si>
  <si>
    <t>1713524</t>
  </si>
  <si>
    <t>VPSNUSA100</t>
  </si>
  <si>
    <t>VPSNUSA100-S16</t>
  </si>
  <si>
    <t>PlayStation USA 100 USD</t>
  </si>
  <si>
    <t>1712262</t>
  </si>
  <si>
    <t>VPSNUSA100-S16-us</t>
  </si>
  <si>
    <t>VPSNDE100</t>
  </si>
  <si>
    <t>VPSNDE100-S16</t>
  </si>
  <si>
    <t>PlayStation DE 100 EUR</t>
  </si>
  <si>
    <t>1763581</t>
  </si>
  <si>
    <t>VPSNDE100-S16-de</t>
  </si>
  <si>
    <t>VPSNJP15000</t>
  </si>
  <si>
    <t>VPSNJP15000-S16</t>
  </si>
  <si>
    <t>PlayStation Japan 15000 JPY</t>
  </si>
  <si>
    <t>1800819</t>
  </si>
  <si>
    <t>VPSNFR100</t>
  </si>
  <si>
    <t>VPSNFR100-S16</t>
  </si>
  <si>
    <t>PlayStation FR 100 EUR</t>
  </si>
  <si>
    <t>2013661</t>
  </si>
  <si>
    <t>VPSNIE100</t>
  </si>
  <si>
    <t>VPSNIE100-S16</t>
  </si>
  <si>
    <t>PlayStation IE 100 EUR</t>
  </si>
  <si>
    <t>2035549</t>
  </si>
  <si>
    <t>VPSNDE110</t>
  </si>
  <si>
    <t>VPSNDE110-S16</t>
  </si>
  <si>
    <t>PlayStation DE 110 EUR</t>
  </si>
  <si>
    <t>2054167</t>
  </si>
  <si>
    <t>VPSNDE110-S16-de</t>
  </si>
  <si>
    <t>VPSNTRY5000</t>
  </si>
  <si>
    <t>VPSNTRY5000-S16</t>
  </si>
  <si>
    <t>PlayStation TR 5000 TRY</t>
  </si>
  <si>
    <t>2145232</t>
  </si>
  <si>
    <t>VPSNGBP100</t>
  </si>
  <si>
    <t>VPSNGBP100-S16</t>
  </si>
  <si>
    <t>PlayStation UK 100 GBP</t>
  </si>
  <si>
    <t>2147206</t>
  </si>
  <si>
    <t>VPSNGBP100-S16-gb</t>
  </si>
  <si>
    <t>Selling price</t>
  </si>
  <si>
    <t>Margin</t>
  </si>
  <si>
    <t>HOK</t>
  </si>
  <si>
    <t>Honor of Kings</t>
  </si>
  <si>
    <t>HOKWC</t>
  </si>
  <si>
    <t>HOKWC-S888</t>
  </si>
  <si>
    <t>Weekly Card</t>
  </si>
  <si>
    <t>16514</t>
  </si>
  <si>
    <t>HOKWCP</t>
  </si>
  <si>
    <t>HOKWCP-S888</t>
  </si>
  <si>
    <t>Weekly Card Plus</t>
  </si>
  <si>
    <t>50719</t>
  </si>
  <si>
    <t>HOK16</t>
  </si>
  <si>
    <t>HOK16-S35</t>
  </si>
  <si>
    <t>16 Tokens</t>
  </si>
  <si>
    <t>3020</t>
  </si>
  <si>
    <t>HOK16-S35-ph</t>
  </si>
  <si>
    <t>HOK16-S35-th</t>
  </si>
  <si>
    <t>HOK16-S35-my</t>
  </si>
  <si>
    <t>HOK16-S35-sg</t>
  </si>
  <si>
    <t>HOK80</t>
  </si>
  <si>
    <t>HOK80-S35</t>
  </si>
  <si>
    <t>80 Tokens</t>
  </si>
  <si>
    <t>14966</t>
  </si>
  <si>
    <t>HOK80-S35-ph</t>
  </si>
  <si>
    <t>HOK80-S35-th</t>
  </si>
  <si>
    <t>HOK80-S35-my</t>
  </si>
  <si>
    <t>HOK240</t>
  </si>
  <si>
    <t>HOK240-S35</t>
  </si>
  <si>
    <t>240 Tokens</t>
  </si>
  <si>
    <t>45155</t>
  </si>
  <si>
    <t>HOK240-S35-ph</t>
  </si>
  <si>
    <t>HOK240-S35-th</t>
  </si>
  <si>
    <t>HOK240-S35-my</t>
  </si>
  <si>
    <t>HOK240-S35-sg</t>
  </si>
  <si>
    <t>HOK240-S35-us</t>
  </si>
  <si>
    <t>HOK240-S35-br</t>
  </si>
  <si>
    <t>HOK400</t>
  </si>
  <si>
    <t>HOK400-S35</t>
  </si>
  <si>
    <t>400 Tokens</t>
  </si>
  <si>
    <t>75415</t>
  </si>
  <si>
    <t>HOK400-S35-ph</t>
  </si>
  <si>
    <t>HOK400-S35-th</t>
  </si>
  <si>
    <t>HOK400-S35-my</t>
  </si>
  <si>
    <t>HOK560</t>
  </si>
  <si>
    <t>HOK560-S35</t>
  </si>
  <si>
    <t>560 Tokens</t>
  </si>
  <si>
    <t>105557</t>
  </si>
  <si>
    <t>HOK560-S35-ph</t>
  </si>
  <si>
    <t>HOK560-S35-th</t>
  </si>
  <si>
    <t>HOK560-S35-my</t>
  </si>
  <si>
    <t>HOK560-S35-sg</t>
  </si>
  <si>
    <t>HOK560-S35-us</t>
  </si>
  <si>
    <t>HOK560-S35-br</t>
  </si>
  <si>
    <t>Saudi Arabia</t>
  </si>
  <si>
    <t>HOK560-S35-sa</t>
  </si>
  <si>
    <t>HOK800</t>
  </si>
  <si>
    <t>HOK800-S35</t>
  </si>
  <si>
    <t>800 + 30 Tokens</t>
  </si>
  <si>
    <t>150857</t>
  </si>
  <si>
    <t>HOK800-S35-ph</t>
  </si>
  <si>
    <t>HOK800-S35-th</t>
  </si>
  <si>
    <t>HOK800-S35-my</t>
  </si>
  <si>
    <t>HOK1200</t>
  </si>
  <si>
    <t>HOK1200-S35</t>
  </si>
  <si>
    <t>1200 + 45 Tokens</t>
  </si>
  <si>
    <t>226535</t>
  </si>
  <si>
    <t>HOK1200-S35-ph</t>
  </si>
  <si>
    <t>HOK1200-S35-th</t>
  </si>
  <si>
    <t>HOK1200-S35-my</t>
  </si>
  <si>
    <t>HOK1200-S35-sg</t>
  </si>
  <si>
    <t>HOK2400</t>
  </si>
  <si>
    <t>HOK2400-S35</t>
  </si>
  <si>
    <t>2400 + 108 Tokens</t>
  </si>
  <si>
    <t>452863</t>
  </si>
  <si>
    <t>HOK2400-S35-ph</t>
  </si>
  <si>
    <t>HOK2400-S35-th</t>
  </si>
  <si>
    <t>HOK2400-S35-my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</si>
</sst>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  <numFmt numFmtId="167" formatCode="_-* #,##0.0_-;\-* #,##0.0_-;_-* &quot;-&quot;??_-;_-@_-"/>
    <numFmt numFmtId="168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  <fill>
      <patternFill patternType="solid">
        <fgColor rgb="FF92D050"/>
        <bgColor indexed="64"/>
      </patternFill>
    </fill>
    <fill>
      <patternFill patternType="solid">
        <fgColor rgb="FFF3F6F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7">
    <xf numFmtId="0" fontId="0" fillId="0" borderId="0" xfId="0"/>
    <xf numFmtId="0" fontId="1" fillId="2" borderId="0" xfId="0" applyFont="1" applyFill="1"/>
    <xf numFmtId="2" fontId="0" fillId="0" borderId="0" xfId="0" applyNumberFormat="1"/>
    <xf numFmtId="164" fontId="1" fillId="2" borderId="0" xfId="1" applyNumberFormat="1" applyFont="1" applyFill="1"/>
    <xf numFmtId="164" fontId="0" fillId="0" borderId="0" xfId="1" applyNumberFormat="1" applyFont="1"/>
    <xf numFmtId="164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horizontal="center"/>
    </xf>
    <xf numFmtId="165" fontId="1" fillId="2" borderId="0" xfId="1" applyNumberFormat="1" applyFont="1" applyFill="1"/>
    <xf numFmtId="165" fontId="0" fillId="0" borderId="0" xfId="1" applyNumberFormat="1" applyFont="1"/>
    <xf numFmtId="0" fontId="0" fillId="0" borderId="0" xfId="0"/>
    <xf numFmtId="2" fontId="0" fillId="3" borderId="0" xfId="0" applyNumberFormat="1" applyFill="1"/>
    <xf numFmtId="0" fontId="0" fillId="0" borderId="0" xfId="0" applyAlignment="1">
      <alignment horizontal="center"/>
    </xf>
    <xf numFmtId="0" fontId="0" fillId="4" borderId="0" xfId="0" applyFill="1"/>
    <xf numFmtId="0" fontId="0" fillId="0" borderId="0" xfId="0" applyAlignment="1">
      <alignment wrapText="1"/>
    </xf>
    <xf numFmtId="167" fontId="1" fillId="2" borderId="0" xfId="1" applyNumberFormat="1" applyFont="1" applyFill="1"/>
    <xf numFmtId="167" fontId="0" fillId="0" borderId="0" xfId="1" applyNumberFormat="1" applyFont="1"/>
    <xf numFmtId="9" fontId="0" fillId="0" borderId="0" xfId="0" applyNumberFormat="1"/>
    <xf numFmtId="9" fontId="0" fillId="0" borderId="0" xfId="2" applyFont="1"/>
    <xf numFmtId="0" fontId="0" fillId="5" borderId="0" xfId="0" applyFill="1"/>
    <xf numFmtId="0" fontId="3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5" borderId="0" xfId="0" applyNumberFormat="1" applyFill="1" applyAlignment="1">
      <alignment vertical="top" wrapText="1"/>
    </xf>
    <xf numFmtId="10" fontId="0" fillId="0" borderId="0" xfId="0" applyNumberFormat="1" applyAlignment="1">
      <alignment vertical="top" wrapText="1"/>
    </xf>
    <xf numFmtId="0" fontId="3" fillId="6" borderId="3" xfId="0" applyFont="1" applyFill="1" applyBorder="1" applyAlignment="1">
      <alignment horizontal="center" vertical="center" wrapText="1"/>
    </xf>
    <xf numFmtId="43" fontId="3" fillId="6" borderId="3" xfId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top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10" fontId="1" fillId="6" borderId="2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top" wrapText="1"/>
    </xf>
    <xf numFmtId="3" fontId="0" fillId="7" borderId="1" xfId="0" applyNumberFormat="1" applyFill="1" applyBorder="1" applyAlignment="1">
      <alignment vertical="top" wrapText="1"/>
    </xf>
    <xf numFmtId="0" fontId="0" fillId="7" borderId="0" xfId="0" applyFill="1"/>
    <xf numFmtId="0" fontId="3" fillId="6" borderId="4" xfId="0" applyFont="1" applyFill="1" applyBorder="1" applyAlignment="1">
      <alignment horizontal="center" vertical="center" wrapText="1"/>
    </xf>
    <xf numFmtId="10" fontId="1" fillId="6" borderId="1" xfId="0" applyNumberFormat="1" applyFont="1" applyFill="1" applyBorder="1" applyAlignment="1">
      <alignment horizontal="center" vertical="center" wrapText="1"/>
    </xf>
    <xf numFmtId="164" fontId="0" fillId="7" borderId="1" xfId="1" applyNumberFormat="1" applyFont="1" applyFill="1" applyBorder="1" applyAlignment="1">
      <alignment vertical="top" wrapText="1"/>
    </xf>
    <xf numFmtId="10" fontId="0" fillId="7" borderId="1" xfId="1" applyNumberFormat="1" applyFont="1" applyFill="1" applyBorder="1" applyAlignment="1">
      <alignment vertical="top" wrapText="1"/>
    </xf>
    <xf numFmtId="0" fontId="0" fillId="0" borderId="1" xfId="0" applyBorder="1"/>
    <xf numFmtId="0" fontId="0" fillId="4" borderId="1" xfId="0" applyFill="1" applyBorder="1" applyAlignment="1">
      <alignment vertical="top" wrapText="1"/>
    </xf>
    <xf numFmtId="3" fontId="0" fillId="4" borderId="1" xfId="0" applyNumberFormat="1" applyFill="1" applyBorder="1" applyAlignment="1">
      <alignment vertical="top" wrapText="1"/>
    </xf>
    <xf numFmtId="10" fontId="0" fillId="4" borderId="0" xfId="0" applyNumberFormat="1" applyFill="1"/>
    <xf numFmtId="0" fontId="0" fillId="4" borderId="1" xfId="0" applyFill="1" applyBorder="1" applyAlignment="1">
      <alignment vertical="center" wrapText="1"/>
    </xf>
    <xf numFmtId="3" fontId="0" fillId="4" borderId="1" xfId="0" applyNumberFormat="1" applyFill="1" applyBorder="1" applyAlignment="1">
      <alignment vertical="center" wrapText="1"/>
    </xf>
    <xf numFmtId="0" fontId="0" fillId="4" borderId="0" xfId="0" applyFill="1" applyAlignment="1">
      <alignment vertical="center"/>
    </xf>
    <xf numFmtId="10" fontId="0" fillId="4" borderId="0" xfId="0" applyNumberFormat="1" applyFill="1" applyAlignment="1">
      <alignment vertical="center"/>
    </xf>
    <xf numFmtId="9" fontId="0" fillId="4" borderId="0" xfId="0" applyNumberFormat="1" applyFill="1"/>
    <xf numFmtId="9" fontId="0" fillId="5" borderId="0" xfId="0" applyNumberFormat="1" applyFill="1"/>
    <xf numFmtId="0" fontId="0" fillId="4" borderId="4" xfId="0" applyFill="1" applyBorder="1" applyAlignment="1">
      <alignment vertical="center" wrapText="1"/>
    </xf>
    <xf numFmtId="0" fontId="0" fillId="4" borderId="0" xfId="0" applyFill="1" applyBorder="1" applyAlignment="1">
      <alignment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10" fontId="3" fillId="6" borderId="0" xfId="0" applyNumberFormat="1" applyFont="1" applyFill="1" applyAlignment="1">
      <alignment horizontal="center" vertical="center" wrapText="1"/>
    </xf>
    <xf numFmtId="0" fontId="0" fillId="8" borderId="0" xfId="0" applyFill="1"/>
    <xf numFmtId="0" fontId="0" fillId="8" borderId="0" xfId="0" applyFill="1" applyAlignment="1">
      <alignment horizontal="center"/>
    </xf>
    <xf numFmtId="10" fontId="0" fillId="0" borderId="0" xfId="0" applyNumberFormat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/>
    <xf numFmtId="9" fontId="0" fillId="0" borderId="1" xfId="0" applyNumberFormat="1" applyBorder="1"/>
    <xf numFmtId="0" fontId="0" fillId="8" borderId="1" xfId="0" applyFill="1" applyBorder="1"/>
    <xf numFmtId="168" fontId="0" fillId="0" borderId="1" xfId="0" applyNumberFormat="1" applyBorder="1"/>
    <xf numFmtId="9" fontId="0" fillId="8" borderId="1" xfId="0" applyNumberFormat="1" applyFill="1" applyBorder="1"/>
    <xf numFmtId="164" fontId="3" fillId="6" borderId="0" xfId="1" applyNumberFormat="1" applyFont="1" applyFill="1" applyAlignment="1">
      <alignment horizontal="center" vertical="center"/>
    </xf>
    <xf numFmtId="10" fontId="3" fillId="6" borderId="0" xfId="0" applyNumberFormat="1" applyFont="1" applyFill="1" applyAlignment="1">
      <alignment horizontal="center" vertical="center"/>
    </xf>
    <xf numFmtId="10" fontId="0" fillId="8" borderId="0" xfId="0" applyNumberFormat="1" applyFill="1"/>
    <xf numFmtId="164" fontId="0" fillId="8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0A55-2E1B-414E-99B9-829BBCCA67E7}">
  <dimension ref="A1:K12"/>
  <sheetViews>
    <sheetView workbookViewId="0">
      <selection activeCell="I2" sqref="I2"/>
    </sheetView>
  </sheetViews>
  <sheetFormatPr defaultRowHeight="14.5" x14ac:dyDescent="0.35"/>
  <cols>
    <col min="1" max="1" width="9.08984375" bestFit="1" customWidth="1"/>
    <col min="3" max="3" width="30" bestFit="1" customWidth="1"/>
    <col min="4" max="4" width="34.453125" bestFit="1" customWidth="1"/>
    <col min="5" max="5" width="28.36328125" style="4" hidden="1" customWidth="1"/>
    <col min="6" max="6" width="28.36328125" hidden="1" customWidth="1"/>
    <col min="7" max="7" width="22" hidden="1" customWidth="1"/>
    <col min="8" max="8" width="32.1796875" hidden="1" customWidth="1"/>
    <col min="9" max="9" width="13.36328125" style="9" customWidth="1"/>
    <col min="10" max="10" width="21.81640625" customWidth="1"/>
    <col min="11" max="11" width="22.6328125" customWidth="1"/>
  </cols>
  <sheetData>
    <row r="1" spans="1:11" x14ac:dyDescent="0.35">
      <c r="A1" s="1" t="s">
        <v>0</v>
      </c>
      <c r="B1" s="1" t="s">
        <v>3</v>
      </c>
      <c r="C1" s="1" t="s">
        <v>5</v>
      </c>
      <c r="D1" s="1" t="s">
        <v>6</v>
      </c>
      <c r="E1" s="3" t="s">
        <v>269</v>
      </c>
      <c r="F1" s="1" t="s">
        <v>271</v>
      </c>
      <c r="G1" s="1" t="s">
        <v>7</v>
      </c>
      <c r="H1" s="1" t="s">
        <v>270</v>
      </c>
      <c r="I1" s="8" t="s">
        <v>285</v>
      </c>
      <c r="J1" s="7" t="s">
        <v>286</v>
      </c>
      <c r="K1" s="1" t="s">
        <v>287</v>
      </c>
    </row>
    <row r="2" spans="1:11" x14ac:dyDescent="0.35">
      <c r="A2" t="s">
        <v>18</v>
      </c>
      <c r="B2" t="s">
        <v>11</v>
      </c>
      <c r="C2" t="s">
        <v>91</v>
      </c>
      <c r="D2" t="s">
        <v>26</v>
      </c>
      <c r="E2" s="4">
        <v>56</v>
      </c>
      <c r="F2" s="5">
        <f t="shared" ref="F2:F12" si="0">H2/E2</f>
        <v>327.5</v>
      </c>
      <c r="G2">
        <v>1.31</v>
      </c>
      <c r="H2" s="4">
        <f t="shared" ref="H2:H12" si="1">G2*14000</f>
        <v>18340</v>
      </c>
      <c r="I2" s="9" t="s">
        <v>92</v>
      </c>
      <c r="J2" s="6">
        <v>0.1</v>
      </c>
      <c r="K2" s="17">
        <v>0.12</v>
      </c>
    </row>
    <row r="3" spans="1:11" x14ac:dyDescent="0.35">
      <c r="A3" t="s">
        <v>18</v>
      </c>
      <c r="B3" t="s">
        <v>11</v>
      </c>
      <c r="C3" t="s">
        <v>109</v>
      </c>
      <c r="D3" t="s">
        <v>108</v>
      </c>
      <c r="E3" s="4">
        <v>112</v>
      </c>
      <c r="F3" s="5">
        <f t="shared" si="0"/>
        <v>323.75</v>
      </c>
      <c r="G3">
        <v>2.59</v>
      </c>
      <c r="H3" s="4">
        <f t="shared" si="1"/>
        <v>36260</v>
      </c>
      <c r="I3" s="9" t="s">
        <v>110</v>
      </c>
      <c r="J3" s="6">
        <v>0.1</v>
      </c>
      <c r="K3" s="17">
        <v>0.12</v>
      </c>
    </row>
    <row r="4" spans="1:11" x14ac:dyDescent="0.35">
      <c r="A4" t="s">
        <v>18</v>
      </c>
      <c r="B4" t="s">
        <v>11</v>
      </c>
      <c r="C4" t="s">
        <v>125</v>
      </c>
      <c r="D4" t="s">
        <v>124</v>
      </c>
      <c r="E4" s="4">
        <v>210</v>
      </c>
      <c r="F4" s="5">
        <f t="shared" si="0"/>
        <v>326.66666666666669</v>
      </c>
      <c r="G4">
        <v>4.9000000000000004</v>
      </c>
      <c r="H4" s="4">
        <f t="shared" si="1"/>
        <v>68600</v>
      </c>
      <c r="I4" s="9" t="s">
        <v>19</v>
      </c>
      <c r="J4" s="6">
        <v>0.1</v>
      </c>
      <c r="K4" s="17">
        <v>0.12</v>
      </c>
    </row>
    <row r="5" spans="1:11" x14ac:dyDescent="0.35">
      <c r="A5" t="s">
        <v>18</v>
      </c>
      <c r="B5" t="s">
        <v>11</v>
      </c>
      <c r="C5" t="s">
        <v>137</v>
      </c>
      <c r="D5" t="s">
        <v>135</v>
      </c>
      <c r="E5" s="4">
        <v>326</v>
      </c>
      <c r="F5" s="5">
        <f t="shared" si="0"/>
        <v>316.50306748466255</v>
      </c>
      <c r="G5">
        <v>7.37</v>
      </c>
      <c r="H5" s="4">
        <f t="shared" si="1"/>
        <v>103180</v>
      </c>
      <c r="I5" s="9" t="s">
        <v>136</v>
      </c>
      <c r="J5" s="6">
        <v>0.1</v>
      </c>
      <c r="K5" s="17">
        <v>0.12</v>
      </c>
    </row>
    <row r="6" spans="1:11" x14ac:dyDescent="0.35">
      <c r="A6" t="s">
        <v>18</v>
      </c>
      <c r="B6" t="s">
        <v>11</v>
      </c>
      <c r="C6" t="s">
        <v>150</v>
      </c>
      <c r="D6" t="s">
        <v>63</v>
      </c>
      <c r="E6" s="4">
        <v>513</v>
      </c>
      <c r="F6" s="5">
        <f t="shared" si="0"/>
        <v>316.56920077972711</v>
      </c>
      <c r="G6">
        <v>11.6</v>
      </c>
      <c r="H6" s="4">
        <f t="shared" si="1"/>
        <v>162400</v>
      </c>
      <c r="I6" s="9" t="s">
        <v>149</v>
      </c>
      <c r="J6" s="6">
        <v>0.1</v>
      </c>
      <c r="K6" s="17">
        <v>0.12</v>
      </c>
    </row>
    <row r="7" spans="1:11" x14ac:dyDescent="0.35">
      <c r="A7" t="s">
        <v>18</v>
      </c>
      <c r="B7" t="s">
        <v>11</v>
      </c>
      <c r="C7" t="s">
        <v>172</v>
      </c>
      <c r="D7" t="s">
        <v>173</v>
      </c>
      <c r="E7" s="4">
        <v>765</v>
      </c>
      <c r="F7" s="5">
        <f t="shared" si="0"/>
        <v>317.88235294117646</v>
      </c>
      <c r="G7">
        <v>17.37</v>
      </c>
      <c r="H7" s="4">
        <f t="shared" si="1"/>
        <v>243180</v>
      </c>
      <c r="I7" s="9" t="s">
        <v>174</v>
      </c>
      <c r="J7" s="6">
        <v>0.1</v>
      </c>
      <c r="K7" s="17">
        <v>0.12</v>
      </c>
    </row>
    <row r="8" spans="1:11" x14ac:dyDescent="0.35">
      <c r="A8" t="s">
        <v>18</v>
      </c>
      <c r="B8" t="s">
        <v>11</v>
      </c>
      <c r="C8" t="s">
        <v>182</v>
      </c>
      <c r="D8" t="s">
        <v>183</v>
      </c>
      <c r="E8" s="4">
        <v>1145</v>
      </c>
      <c r="F8" s="5">
        <f t="shared" si="0"/>
        <v>318.1484716157205</v>
      </c>
      <c r="G8">
        <v>26.02</v>
      </c>
      <c r="H8" s="4">
        <f t="shared" si="1"/>
        <v>364280</v>
      </c>
      <c r="I8" s="9" t="s">
        <v>184</v>
      </c>
      <c r="J8" s="6">
        <v>0.1</v>
      </c>
      <c r="K8" s="17">
        <v>0.12</v>
      </c>
    </row>
    <row r="9" spans="1:11" x14ac:dyDescent="0.35">
      <c r="A9" t="s">
        <v>18</v>
      </c>
      <c r="B9" t="s">
        <v>11</v>
      </c>
      <c r="C9" t="s">
        <v>200</v>
      </c>
      <c r="D9" t="s">
        <v>198</v>
      </c>
      <c r="E9" s="4">
        <v>1530</v>
      </c>
      <c r="F9" s="5">
        <f t="shared" si="0"/>
        <v>317.24183006535947</v>
      </c>
      <c r="G9">
        <v>34.67</v>
      </c>
      <c r="H9" s="4">
        <f t="shared" si="1"/>
        <v>485380</v>
      </c>
      <c r="I9" s="9" t="s">
        <v>199</v>
      </c>
      <c r="J9" s="6">
        <v>0.1</v>
      </c>
      <c r="K9" s="17">
        <v>0.12</v>
      </c>
    </row>
    <row r="10" spans="1:11" x14ac:dyDescent="0.35">
      <c r="A10" t="s">
        <v>18</v>
      </c>
      <c r="B10" t="s">
        <v>11</v>
      </c>
      <c r="C10" t="s">
        <v>204</v>
      </c>
      <c r="D10" t="s">
        <v>202</v>
      </c>
      <c r="E10" s="4">
        <v>2162</v>
      </c>
      <c r="F10" s="5">
        <f t="shared" si="0"/>
        <v>318.01110083256242</v>
      </c>
      <c r="G10">
        <v>49.11</v>
      </c>
      <c r="H10" s="4">
        <f t="shared" si="1"/>
        <v>687540</v>
      </c>
      <c r="I10" s="9" t="s">
        <v>203</v>
      </c>
      <c r="J10" s="6">
        <v>0.1</v>
      </c>
      <c r="K10" s="17">
        <v>0.12</v>
      </c>
    </row>
    <row r="11" spans="1:11" x14ac:dyDescent="0.35">
      <c r="A11" t="s">
        <v>18</v>
      </c>
      <c r="B11" t="s">
        <v>11</v>
      </c>
      <c r="C11" t="s">
        <v>221</v>
      </c>
      <c r="D11" t="s">
        <v>219</v>
      </c>
      <c r="E11" s="4">
        <v>3116</v>
      </c>
      <c r="F11" s="5">
        <f t="shared" si="0"/>
        <v>309.4736842105263</v>
      </c>
      <c r="G11">
        <v>68.88</v>
      </c>
      <c r="H11" s="4">
        <f t="shared" si="1"/>
        <v>964319.99999999988</v>
      </c>
      <c r="I11" s="9" t="s">
        <v>220</v>
      </c>
      <c r="J11" s="6">
        <v>0.1</v>
      </c>
      <c r="K11" s="17">
        <v>0.12</v>
      </c>
    </row>
    <row r="12" spans="1:11" x14ac:dyDescent="0.35">
      <c r="A12" t="s">
        <v>18</v>
      </c>
      <c r="B12" t="s">
        <v>11</v>
      </c>
      <c r="C12" t="s">
        <v>231</v>
      </c>
      <c r="D12" t="s">
        <v>230</v>
      </c>
      <c r="E12" s="4">
        <v>4422</v>
      </c>
      <c r="F12" s="5">
        <f t="shared" si="0"/>
        <v>311.27996381727723</v>
      </c>
      <c r="G12">
        <v>98.32</v>
      </c>
      <c r="H12" s="4">
        <f t="shared" si="1"/>
        <v>1376480</v>
      </c>
      <c r="I12" s="9" t="s">
        <v>232</v>
      </c>
      <c r="J12" s="6">
        <v>0.1</v>
      </c>
      <c r="K12" s="17">
        <v>0.12</v>
      </c>
    </row>
  </sheetData>
  <autoFilter ref="A1:J1" xr:uid="{6C730A55-2E1B-414E-99B9-829BBCCA67E7}">
    <sortState xmlns:xlrd2="http://schemas.microsoft.com/office/spreadsheetml/2017/richdata2" ref="A2:J244">
      <sortCondition ref="F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432B-AA2B-45FA-98F6-430496CF80A5}">
  <dimension ref="A1:I17"/>
  <sheetViews>
    <sheetView topLeftCell="B1" workbookViewId="0">
      <selection activeCell="H1" sqref="H1:I1"/>
    </sheetView>
  </sheetViews>
  <sheetFormatPr defaultRowHeight="14.5" x14ac:dyDescent="0.35"/>
  <cols>
    <col min="1" max="1" width="19.7265625" customWidth="1"/>
    <col min="2" max="2" width="30.90625" bestFit="1" customWidth="1"/>
    <col min="3" max="3" width="30.90625" customWidth="1"/>
    <col min="4" max="4" width="19.36328125" customWidth="1"/>
    <col min="5" max="5" width="19.36328125" hidden="1" customWidth="1"/>
    <col min="6" max="6" width="15.54296875" customWidth="1"/>
    <col min="7" max="7" width="16.90625" customWidth="1"/>
    <col min="8" max="8" width="32.08984375" customWidth="1"/>
    <col min="9" max="9" width="37.1796875" customWidth="1"/>
  </cols>
  <sheetData>
    <row r="1" spans="1:9" x14ac:dyDescent="0.35">
      <c r="A1" s="1" t="s">
        <v>2</v>
      </c>
      <c r="B1" s="1" t="s">
        <v>6</v>
      </c>
      <c r="C1" s="1" t="s">
        <v>272</v>
      </c>
      <c r="D1" s="1" t="s">
        <v>268</v>
      </c>
      <c r="E1" s="3" t="s">
        <v>7</v>
      </c>
      <c r="F1" s="1" t="s">
        <v>267</v>
      </c>
      <c r="G1" s="1" t="s">
        <v>279</v>
      </c>
      <c r="H1" s="1" t="s">
        <v>280</v>
      </c>
      <c r="I1" s="1" t="s">
        <v>281</v>
      </c>
    </row>
    <row r="2" spans="1:9" x14ac:dyDescent="0.35">
      <c r="E2" s="4"/>
      <c r="F2" s="2"/>
    </row>
    <row r="3" spans="1:9" x14ac:dyDescent="0.35">
      <c r="A3" t="s">
        <v>48</v>
      </c>
      <c r="B3" t="s">
        <v>77</v>
      </c>
      <c r="C3" s="13" t="s">
        <v>76</v>
      </c>
      <c r="D3">
        <v>17</v>
      </c>
      <c r="E3" s="4">
        <v>4800</v>
      </c>
      <c r="F3" s="2">
        <f t="shared" ref="F3" si="0">E3/D3</f>
        <v>282.35294117647061</v>
      </c>
      <c r="G3" s="10">
        <v>4488</v>
      </c>
      <c r="H3" s="6">
        <v>8.5000000000000006E-2</v>
      </c>
      <c r="I3" s="6">
        <v>0.105</v>
      </c>
    </row>
    <row r="4" spans="1:9" x14ac:dyDescent="0.35">
      <c r="A4" t="s">
        <v>48</v>
      </c>
      <c r="B4" t="s">
        <v>85</v>
      </c>
      <c r="C4" s="13" t="s">
        <v>86</v>
      </c>
      <c r="D4">
        <v>33</v>
      </c>
      <c r="E4" s="4">
        <v>9600</v>
      </c>
      <c r="F4" s="2">
        <f t="shared" ref="F4" si="1">E4/D4</f>
        <v>290.90909090909093</v>
      </c>
      <c r="G4" s="10">
        <v>8977</v>
      </c>
      <c r="H4" s="6">
        <v>8.5000000000000006E-2</v>
      </c>
      <c r="I4" s="6">
        <v>0.105</v>
      </c>
    </row>
    <row r="5" spans="1:9" x14ac:dyDescent="0.35">
      <c r="A5" t="s">
        <v>48</v>
      </c>
      <c r="B5" t="s">
        <v>33</v>
      </c>
      <c r="C5" s="13" t="s">
        <v>87</v>
      </c>
      <c r="D5">
        <v>44</v>
      </c>
      <c r="E5" s="4">
        <v>12450</v>
      </c>
      <c r="F5" s="2">
        <f>E5/D5</f>
        <v>282.95454545454544</v>
      </c>
      <c r="G5" s="10">
        <v>11450</v>
      </c>
      <c r="H5" s="6">
        <v>8.5000000000000006E-2</v>
      </c>
      <c r="I5" s="6">
        <v>0.105</v>
      </c>
    </row>
    <row r="6" spans="1:9" x14ac:dyDescent="0.35">
      <c r="A6" t="s">
        <v>48</v>
      </c>
      <c r="B6" t="s">
        <v>88</v>
      </c>
      <c r="C6" s="13" t="s">
        <v>89</v>
      </c>
      <c r="D6">
        <v>50</v>
      </c>
      <c r="E6" s="4">
        <v>14300</v>
      </c>
      <c r="F6" s="2">
        <f t="shared" ref="F6" si="2">E6/D6</f>
        <v>286</v>
      </c>
      <c r="G6" s="10">
        <v>13465</v>
      </c>
      <c r="H6" s="6">
        <v>8.5000000000000006E-2</v>
      </c>
      <c r="I6" s="6">
        <v>0.105</v>
      </c>
    </row>
    <row r="7" spans="1:9" x14ac:dyDescent="0.35">
      <c r="A7" t="s">
        <v>48</v>
      </c>
      <c r="B7" t="s">
        <v>34</v>
      </c>
      <c r="C7" s="10" t="s">
        <v>97</v>
      </c>
      <c r="D7">
        <v>59</v>
      </c>
      <c r="E7" s="4">
        <v>16600</v>
      </c>
      <c r="F7" s="2">
        <f t="shared" ref="F7" si="3">E7/D7</f>
        <v>281.35593220338984</v>
      </c>
      <c r="G7" s="10">
        <v>15266</v>
      </c>
      <c r="H7" s="6">
        <v>8.5000000000000006E-2</v>
      </c>
      <c r="I7" s="6">
        <v>0.105</v>
      </c>
    </row>
    <row r="8" spans="1:9" x14ac:dyDescent="0.35">
      <c r="A8" t="s">
        <v>48</v>
      </c>
      <c r="B8" t="s">
        <v>35</v>
      </c>
      <c r="C8" s="10" t="s">
        <v>100</v>
      </c>
      <c r="D8">
        <v>85</v>
      </c>
      <c r="E8" s="4">
        <v>23825</v>
      </c>
      <c r="F8" s="2">
        <f t="shared" ref="F8" si="4">E8/D8</f>
        <v>280.29411764705884</v>
      </c>
      <c r="G8" s="10">
        <v>21944</v>
      </c>
      <c r="H8" s="6">
        <v>8.5000000000000006E-2</v>
      </c>
      <c r="I8" s="6">
        <v>0.105</v>
      </c>
    </row>
    <row r="9" spans="1:9" x14ac:dyDescent="0.35">
      <c r="A9" t="s">
        <v>48</v>
      </c>
      <c r="B9" t="s">
        <v>36</v>
      </c>
      <c r="C9" s="10" t="s">
        <v>119</v>
      </c>
      <c r="D9">
        <v>170</v>
      </c>
      <c r="E9" s="4">
        <v>47505</v>
      </c>
      <c r="F9" s="2">
        <f t="shared" ref="F9" si="5">E9/D9</f>
        <v>279.44117647058823</v>
      </c>
      <c r="G9" s="10">
        <v>43889</v>
      </c>
      <c r="H9" s="6">
        <v>8.5000000000000006E-2</v>
      </c>
      <c r="I9" s="6">
        <v>0.105</v>
      </c>
    </row>
    <row r="10" spans="1:9" ht="101.5" x14ac:dyDescent="0.35">
      <c r="A10" t="s">
        <v>48</v>
      </c>
      <c r="B10" t="s">
        <v>37</v>
      </c>
      <c r="C10" s="10" t="s">
        <v>126</v>
      </c>
      <c r="D10">
        <v>240</v>
      </c>
      <c r="E10" s="4">
        <v>66986</v>
      </c>
      <c r="F10" s="2">
        <f t="shared" ref="F10" si="6">E10/D10</f>
        <v>279.10833333333335</v>
      </c>
      <c r="G10" s="14" t="s">
        <v>284</v>
      </c>
      <c r="H10" s="6">
        <v>8.5000000000000006E-2</v>
      </c>
      <c r="I10" s="6">
        <v>0.105</v>
      </c>
    </row>
    <row r="11" spans="1:9" x14ac:dyDescent="0.35">
      <c r="A11" t="s">
        <v>48</v>
      </c>
      <c r="B11" t="s">
        <v>38</v>
      </c>
      <c r="C11" s="10" t="s">
        <v>134</v>
      </c>
      <c r="D11">
        <v>296</v>
      </c>
      <c r="E11" s="4">
        <v>81984</v>
      </c>
      <c r="F11" s="2">
        <f t="shared" ref="F11" si="7">E11/D11</f>
        <v>276.97297297297297</v>
      </c>
      <c r="H11" s="6">
        <v>8.5000000000000006E-2</v>
      </c>
      <c r="I11" s="6">
        <v>0.105</v>
      </c>
    </row>
    <row r="12" spans="1:9" x14ac:dyDescent="0.35">
      <c r="A12" t="s">
        <v>48</v>
      </c>
      <c r="B12" t="s">
        <v>143</v>
      </c>
      <c r="C12" s="10" t="s">
        <v>144</v>
      </c>
      <c r="D12">
        <v>355</v>
      </c>
      <c r="E12" s="4">
        <v>98895</v>
      </c>
      <c r="F12" s="2">
        <f t="shared" ref="F12" si="8">E12/D12</f>
        <v>278.57746478873241</v>
      </c>
      <c r="H12" s="6">
        <v>8.5000000000000006E-2</v>
      </c>
      <c r="I12" s="6">
        <v>0.105</v>
      </c>
    </row>
    <row r="13" spans="1:9" x14ac:dyDescent="0.35">
      <c r="A13" t="s">
        <v>48</v>
      </c>
      <c r="B13" t="s">
        <v>39</v>
      </c>
      <c r="C13" s="10" t="s">
        <v>154</v>
      </c>
      <c r="D13">
        <v>568</v>
      </c>
      <c r="E13" s="4">
        <v>153534</v>
      </c>
      <c r="F13" s="2">
        <f t="shared" ref="F13" si="9">E13/D13</f>
        <v>270.30633802816902</v>
      </c>
      <c r="H13" s="6">
        <v>8.5000000000000006E-2</v>
      </c>
      <c r="I13" s="6">
        <v>0.105</v>
      </c>
    </row>
    <row r="14" spans="1:9" x14ac:dyDescent="0.35">
      <c r="A14" t="s">
        <v>48</v>
      </c>
      <c r="B14" t="s">
        <v>40</v>
      </c>
      <c r="C14" s="10" t="s">
        <v>178</v>
      </c>
      <c r="D14">
        <v>875</v>
      </c>
      <c r="E14" s="4">
        <v>237008</v>
      </c>
      <c r="F14" s="2">
        <f t="shared" ref="F14" si="10">E14/D14</f>
        <v>270.86628571428571</v>
      </c>
      <c r="H14" s="6">
        <v>8.5000000000000006E-2</v>
      </c>
      <c r="I14" s="6">
        <v>0.105</v>
      </c>
    </row>
    <row r="15" spans="1:9" x14ac:dyDescent="0.35">
      <c r="A15" t="s">
        <v>48</v>
      </c>
      <c r="B15" t="s">
        <v>41</v>
      </c>
      <c r="C15" s="10" t="s">
        <v>201</v>
      </c>
      <c r="D15">
        <v>2010</v>
      </c>
      <c r="E15" s="4">
        <v>520487</v>
      </c>
      <c r="F15" s="2">
        <f t="shared" ref="F15" si="11">E15/D15</f>
        <v>258.94875621890549</v>
      </c>
      <c r="H15" s="6">
        <v>8.5000000000000006E-2</v>
      </c>
      <c r="I15" s="6">
        <v>0.105</v>
      </c>
    </row>
    <row r="16" spans="1:9" x14ac:dyDescent="0.35">
      <c r="A16" t="s">
        <v>48</v>
      </c>
      <c r="B16" t="s">
        <v>229</v>
      </c>
      <c r="C16" s="10" t="s">
        <v>228</v>
      </c>
      <c r="D16">
        <v>4020</v>
      </c>
      <c r="E16" s="4">
        <v>1040973</v>
      </c>
      <c r="F16" s="2">
        <f t="shared" ref="F16" si="12">E16/D16</f>
        <v>258.94850746268656</v>
      </c>
      <c r="H16" s="6">
        <v>8.5000000000000006E-2</v>
      </c>
      <c r="I16" s="6">
        <v>0.105</v>
      </c>
    </row>
    <row r="17" spans="1:9" x14ac:dyDescent="0.35">
      <c r="A17" t="s">
        <v>48</v>
      </c>
      <c r="B17" t="s">
        <v>62</v>
      </c>
      <c r="C17" s="10" t="s">
        <v>68</v>
      </c>
      <c r="E17" s="4">
        <v>156458</v>
      </c>
      <c r="H17" s="6">
        <v>8.5000000000000006E-2</v>
      </c>
      <c r="I17" s="6">
        <v>0.105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2F19-FB28-4301-A2D6-F8A0939ACACC}">
  <dimension ref="A1:L10"/>
  <sheetViews>
    <sheetView workbookViewId="0">
      <selection activeCell="K1" sqref="K1:L1"/>
    </sheetView>
  </sheetViews>
  <sheetFormatPr defaultRowHeight="14.5" x14ac:dyDescent="0.35"/>
  <cols>
    <col min="3" max="3" width="19.81640625" bestFit="1" customWidth="1"/>
    <col min="5" max="5" width="15.90625" bestFit="1" customWidth="1"/>
    <col min="6" max="6" width="19.54296875" bestFit="1" customWidth="1"/>
    <col min="7" max="7" width="32.36328125" bestFit="1" customWidth="1"/>
    <col min="8" max="8" width="10.08984375" bestFit="1" customWidth="1"/>
    <col min="10" max="10" width="0" hidden="1" customWidth="1"/>
    <col min="11" max="11" width="26" bestFit="1" customWidth="1"/>
    <col min="12" max="12" width="21.54296875" bestFit="1" customWidth="1"/>
  </cols>
  <sheetData>
    <row r="1" spans="1:12" s="10" customFormat="1" ht="30" customHeigh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315</v>
      </c>
      <c r="I1" s="20" t="s">
        <v>9</v>
      </c>
      <c r="J1" s="20" t="s">
        <v>10</v>
      </c>
      <c r="K1" s="1" t="s">
        <v>280</v>
      </c>
      <c r="L1" s="1" t="s">
        <v>281</v>
      </c>
    </row>
    <row r="2" spans="1:12" s="10" customFormat="1" x14ac:dyDescent="0.35">
      <c r="A2" s="10" t="s">
        <v>289</v>
      </c>
      <c r="B2" s="10" t="s">
        <v>290</v>
      </c>
      <c r="C2" s="10" t="s">
        <v>291</v>
      </c>
      <c r="D2" s="10" t="s">
        <v>11</v>
      </c>
      <c r="E2" s="10" t="s">
        <v>292</v>
      </c>
      <c r="F2" s="10" t="s">
        <v>293</v>
      </c>
      <c r="G2" s="10" t="s">
        <v>55</v>
      </c>
      <c r="H2" s="10">
        <v>46533</v>
      </c>
      <c r="I2" s="10" t="s">
        <v>12</v>
      </c>
      <c r="J2" s="10" t="s">
        <v>13</v>
      </c>
      <c r="K2" s="6">
        <v>7.2499999999999995E-2</v>
      </c>
      <c r="L2" s="6">
        <v>9.2499999999999999E-2</v>
      </c>
    </row>
    <row r="3" spans="1:12" s="10" customFormat="1" x14ac:dyDescent="0.35">
      <c r="A3" s="10" t="s">
        <v>289</v>
      </c>
      <c r="B3" s="10" t="s">
        <v>290</v>
      </c>
      <c r="C3" s="10" t="s">
        <v>291</v>
      </c>
      <c r="D3" s="10" t="s">
        <v>11</v>
      </c>
      <c r="E3" s="10" t="s">
        <v>294</v>
      </c>
      <c r="F3" s="10" t="s">
        <v>295</v>
      </c>
      <c r="G3" s="10" t="s">
        <v>296</v>
      </c>
      <c r="H3" s="10">
        <v>63838</v>
      </c>
      <c r="I3" s="10" t="s">
        <v>12</v>
      </c>
      <c r="J3" s="10" t="s">
        <v>13</v>
      </c>
      <c r="K3" s="6">
        <v>7.2499999999999995E-2</v>
      </c>
      <c r="L3" s="6">
        <v>9.2499999999999999E-2</v>
      </c>
    </row>
    <row r="4" spans="1:12" s="10" customFormat="1" x14ac:dyDescent="0.35">
      <c r="A4" s="10" t="s">
        <v>289</v>
      </c>
      <c r="B4" s="10" t="s">
        <v>290</v>
      </c>
      <c r="C4" s="10" t="s">
        <v>291</v>
      </c>
      <c r="D4" s="10" t="s">
        <v>11</v>
      </c>
      <c r="E4" s="10" t="s">
        <v>297</v>
      </c>
      <c r="F4" s="10" t="s">
        <v>298</v>
      </c>
      <c r="G4" s="10" t="s">
        <v>299</v>
      </c>
      <c r="H4" s="10">
        <v>182350</v>
      </c>
      <c r="I4" s="10" t="s">
        <v>12</v>
      </c>
      <c r="J4" s="10" t="s">
        <v>13</v>
      </c>
      <c r="K4" s="6">
        <v>7.2499999999999995E-2</v>
      </c>
      <c r="L4" s="6">
        <v>9.2499999999999999E-2</v>
      </c>
    </row>
    <row r="5" spans="1:12" s="10" customFormat="1" x14ac:dyDescent="0.35">
      <c r="A5" s="10" t="s">
        <v>289</v>
      </c>
      <c r="B5" s="10" t="s">
        <v>290</v>
      </c>
      <c r="C5" s="10" t="s">
        <v>291</v>
      </c>
      <c r="D5" s="10" t="s">
        <v>11</v>
      </c>
      <c r="E5" s="10" t="s">
        <v>300</v>
      </c>
      <c r="F5" s="10" t="s">
        <v>301</v>
      </c>
      <c r="G5" s="10" t="s">
        <v>30</v>
      </c>
      <c r="H5" s="10">
        <v>319324</v>
      </c>
      <c r="I5" s="10" t="s">
        <v>12</v>
      </c>
      <c r="J5" s="10" t="s">
        <v>13</v>
      </c>
      <c r="K5" s="6">
        <v>7.2499999999999995E-2</v>
      </c>
      <c r="L5" s="6">
        <v>9.2499999999999999E-2</v>
      </c>
    </row>
    <row r="6" spans="1:12" s="10" customFormat="1" x14ac:dyDescent="0.35">
      <c r="A6" s="10" t="s">
        <v>289</v>
      </c>
      <c r="B6" s="10" t="s">
        <v>290</v>
      </c>
      <c r="C6" s="10" t="s">
        <v>291</v>
      </c>
      <c r="D6" s="10" t="s">
        <v>11</v>
      </c>
      <c r="E6" s="10" t="s">
        <v>302</v>
      </c>
      <c r="F6" s="10" t="s">
        <v>303</v>
      </c>
      <c r="G6" s="10" t="s">
        <v>304</v>
      </c>
      <c r="H6" s="10">
        <v>439393</v>
      </c>
      <c r="I6" s="10" t="s">
        <v>12</v>
      </c>
      <c r="J6" s="10" t="s">
        <v>13</v>
      </c>
      <c r="K6" s="6">
        <v>7.2499999999999995E-2</v>
      </c>
      <c r="L6" s="6">
        <v>9.2499999999999999E-2</v>
      </c>
    </row>
    <row r="7" spans="1:12" s="10" customFormat="1" x14ac:dyDescent="0.35">
      <c r="A7" s="10" t="s">
        <v>289</v>
      </c>
      <c r="B7" s="10" t="s">
        <v>290</v>
      </c>
      <c r="C7" s="10" t="s">
        <v>291</v>
      </c>
      <c r="D7" s="10" t="s">
        <v>11</v>
      </c>
      <c r="E7" s="10" t="s">
        <v>305</v>
      </c>
      <c r="F7" s="10" t="s">
        <v>306</v>
      </c>
      <c r="G7" s="10" t="s">
        <v>31</v>
      </c>
      <c r="H7" s="10">
        <v>638648</v>
      </c>
      <c r="I7" s="10" t="s">
        <v>12</v>
      </c>
      <c r="J7" s="10" t="s">
        <v>13</v>
      </c>
      <c r="K7" s="6">
        <v>7.2499999999999995E-2</v>
      </c>
      <c r="L7" s="6">
        <v>9.2499999999999999E-2</v>
      </c>
    </row>
    <row r="8" spans="1:12" s="10" customFormat="1" x14ac:dyDescent="0.35">
      <c r="A8" s="10" t="s">
        <v>289</v>
      </c>
      <c r="B8" s="10" t="s">
        <v>290</v>
      </c>
      <c r="C8" s="10" t="s">
        <v>291</v>
      </c>
      <c r="D8" s="10" t="s">
        <v>11</v>
      </c>
      <c r="E8" s="10" t="s">
        <v>307</v>
      </c>
      <c r="F8" s="10" t="s">
        <v>308</v>
      </c>
      <c r="G8" s="10" t="s">
        <v>309</v>
      </c>
      <c r="H8" s="10">
        <v>881277</v>
      </c>
      <c r="I8" s="10" t="s">
        <v>12</v>
      </c>
      <c r="J8" s="10" t="s">
        <v>13</v>
      </c>
      <c r="K8" s="6">
        <v>7.2499999999999995E-2</v>
      </c>
      <c r="L8" s="6">
        <v>9.2499999999999999E-2</v>
      </c>
    </row>
    <row r="9" spans="1:12" s="10" customFormat="1" x14ac:dyDescent="0.35">
      <c r="A9" s="10" t="s">
        <v>289</v>
      </c>
      <c r="B9" s="10" t="s">
        <v>290</v>
      </c>
      <c r="C9" s="10" t="s">
        <v>291</v>
      </c>
      <c r="D9" s="10" t="s">
        <v>11</v>
      </c>
      <c r="E9" s="10" t="s">
        <v>310</v>
      </c>
      <c r="F9" s="10" t="s">
        <v>311</v>
      </c>
      <c r="G9" s="10" t="s">
        <v>32</v>
      </c>
      <c r="H9" s="10">
        <v>1596175</v>
      </c>
      <c r="I9" s="10" t="s">
        <v>12</v>
      </c>
      <c r="J9" s="10" t="s">
        <v>13</v>
      </c>
      <c r="K9" s="6">
        <v>7.2499999999999995E-2</v>
      </c>
      <c r="L9" s="6">
        <v>9.2499999999999999E-2</v>
      </c>
    </row>
    <row r="10" spans="1:12" s="10" customFormat="1" x14ac:dyDescent="0.35">
      <c r="A10" s="10" t="s">
        <v>289</v>
      </c>
      <c r="B10" s="10" t="s">
        <v>290</v>
      </c>
      <c r="C10" s="10" t="s">
        <v>291</v>
      </c>
      <c r="D10" s="10" t="s">
        <v>11</v>
      </c>
      <c r="E10" s="10" t="s">
        <v>312</v>
      </c>
      <c r="F10" s="10" t="s">
        <v>313</v>
      </c>
      <c r="G10" s="10" t="s">
        <v>314</v>
      </c>
      <c r="H10" s="10">
        <v>2199011</v>
      </c>
      <c r="I10" s="10" t="s">
        <v>12</v>
      </c>
      <c r="J10" s="10" t="s">
        <v>13</v>
      </c>
      <c r="K10" s="6">
        <v>7.2499999999999995E-2</v>
      </c>
      <c r="L10" s="6">
        <v>9.2499999999999999E-2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CDC7-42DD-4DE3-BC75-304565968549}">
  <dimension ref="A1:M17"/>
  <sheetViews>
    <sheetView topLeftCell="F1" workbookViewId="0">
      <selection activeCell="K5" sqref="K5"/>
    </sheetView>
  </sheetViews>
  <sheetFormatPr defaultRowHeight="14.5" x14ac:dyDescent="0.35"/>
  <cols>
    <col min="3" max="3" width="22.54296875" customWidth="1"/>
    <col min="4" max="4" width="0" hidden="1" customWidth="1"/>
    <col min="5" max="5" width="30.81640625" bestFit="1" customWidth="1"/>
    <col min="6" max="6" width="33.7265625" bestFit="1" customWidth="1"/>
    <col min="7" max="7" width="12.90625" customWidth="1"/>
    <col min="8" max="8" width="19.81640625" style="10" hidden="1" customWidth="1"/>
    <col min="9" max="9" width="11.6328125" hidden="1" customWidth="1"/>
    <col min="10" max="10" width="11.6328125" style="10" hidden="1" customWidth="1"/>
    <col min="11" max="11" width="13.81640625" style="16" customWidth="1"/>
    <col min="12" max="12" width="26" bestFit="1" customWidth="1"/>
    <col min="13" max="13" width="21.542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269</v>
      </c>
      <c r="H1" s="1" t="s">
        <v>274</v>
      </c>
      <c r="I1" s="1" t="s">
        <v>7</v>
      </c>
      <c r="J1" s="1" t="s">
        <v>282</v>
      </c>
      <c r="K1" s="15" t="s">
        <v>285</v>
      </c>
      <c r="L1" s="1" t="s">
        <v>280</v>
      </c>
      <c r="M1" s="1" t="s">
        <v>281</v>
      </c>
    </row>
    <row r="2" spans="1:13" hidden="1" x14ac:dyDescent="0.35">
      <c r="A2" t="s">
        <v>16</v>
      </c>
      <c r="B2" t="s">
        <v>47</v>
      </c>
      <c r="C2" t="s">
        <v>48</v>
      </c>
      <c r="D2" t="s">
        <v>11</v>
      </c>
      <c r="E2" t="s">
        <v>49</v>
      </c>
      <c r="F2" t="s">
        <v>50</v>
      </c>
      <c r="I2">
        <v>44.18</v>
      </c>
      <c r="K2" s="16" t="s">
        <v>51</v>
      </c>
      <c r="L2" t="s">
        <v>273</v>
      </c>
      <c r="M2">
        <v>4400</v>
      </c>
    </row>
    <row r="3" spans="1:13" hidden="1" x14ac:dyDescent="0.35">
      <c r="A3" t="s">
        <v>16</v>
      </c>
      <c r="B3" t="s">
        <v>47</v>
      </c>
      <c r="C3" t="s">
        <v>48</v>
      </c>
      <c r="D3" t="s">
        <v>11</v>
      </c>
      <c r="E3" t="s">
        <v>52</v>
      </c>
      <c r="F3" t="s">
        <v>21</v>
      </c>
      <c r="I3">
        <v>8.85</v>
      </c>
      <c r="K3" s="16" t="s">
        <v>53</v>
      </c>
    </row>
    <row r="4" spans="1:13" hidden="1" x14ac:dyDescent="0.35">
      <c r="A4" t="s">
        <v>16</v>
      </c>
      <c r="B4" t="s">
        <v>47</v>
      </c>
      <c r="C4" t="s">
        <v>48</v>
      </c>
      <c r="D4" t="s">
        <v>11</v>
      </c>
      <c r="E4" t="s">
        <v>56</v>
      </c>
      <c r="F4" t="s">
        <v>21</v>
      </c>
      <c r="I4">
        <v>8.85</v>
      </c>
      <c r="K4" s="16" t="s">
        <v>57</v>
      </c>
    </row>
    <row r="5" spans="1:13" s="10" customFormat="1" x14ac:dyDescent="0.35">
      <c r="A5" s="10" t="s">
        <v>16</v>
      </c>
      <c r="B5" s="10" t="s">
        <v>47</v>
      </c>
      <c r="C5" s="10" t="s">
        <v>48</v>
      </c>
      <c r="D5" s="10" t="s">
        <v>11</v>
      </c>
      <c r="E5" s="10" t="s">
        <v>73</v>
      </c>
      <c r="F5" s="10" t="s">
        <v>22</v>
      </c>
      <c r="G5" s="10">
        <v>14</v>
      </c>
      <c r="H5" s="11">
        <f t="shared" ref="H5:H16" si="0">K5/G5</f>
        <v>294.5</v>
      </c>
      <c r="I5" s="10">
        <v>1.06</v>
      </c>
      <c r="J5" s="10">
        <f>I5*4400</f>
        <v>4664</v>
      </c>
      <c r="K5" s="16" t="s">
        <v>74</v>
      </c>
      <c r="L5" s="6">
        <v>0.115</v>
      </c>
      <c r="M5" s="6">
        <v>0.13500000000000001</v>
      </c>
    </row>
    <row r="6" spans="1:13" x14ac:dyDescent="0.35">
      <c r="A6" t="s">
        <v>16</v>
      </c>
      <c r="B6" t="s">
        <v>47</v>
      </c>
      <c r="C6" t="s">
        <v>48</v>
      </c>
      <c r="D6" t="s">
        <v>11</v>
      </c>
      <c r="E6" t="s">
        <v>84</v>
      </c>
      <c r="F6" t="s">
        <v>83</v>
      </c>
      <c r="G6" s="10">
        <v>28</v>
      </c>
      <c r="H6" s="11">
        <f t="shared" si="0"/>
        <v>294.5</v>
      </c>
      <c r="I6">
        <v>2.12</v>
      </c>
      <c r="J6" s="10">
        <f t="shared" ref="J6:J17" si="1">I6*4400</f>
        <v>9328</v>
      </c>
      <c r="K6" s="16" t="s">
        <v>75</v>
      </c>
      <c r="L6" s="6">
        <v>0.115</v>
      </c>
      <c r="M6" s="6">
        <v>0.13500000000000001</v>
      </c>
    </row>
    <row r="7" spans="1:13" x14ac:dyDescent="0.35">
      <c r="A7" t="s">
        <v>16</v>
      </c>
      <c r="B7" t="s">
        <v>47</v>
      </c>
      <c r="C7" t="s">
        <v>48</v>
      </c>
      <c r="D7" t="s">
        <v>11</v>
      </c>
      <c r="E7" t="s">
        <v>98</v>
      </c>
      <c r="F7" t="s">
        <v>42</v>
      </c>
      <c r="G7" s="10">
        <v>70</v>
      </c>
      <c r="H7" s="11">
        <f t="shared" si="0"/>
        <v>293.82857142857142</v>
      </c>
      <c r="I7">
        <v>5.29</v>
      </c>
      <c r="J7" s="10">
        <f t="shared" si="1"/>
        <v>23276</v>
      </c>
      <c r="K7" s="16" t="s">
        <v>99</v>
      </c>
      <c r="L7" s="6">
        <v>0.115</v>
      </c>
      <c r="M7" s="6">
        <v>0.13500000000000001</v>
      </c>
    </row>
    <row r="8" spans="1:13" x14ac:dyDescent="0.35">
      <c r="A8" t="s">
        <v>16</v>
      </c>
      <c r="B8" t="s">
        <v>47</v>
      </c>
      <c r="C8" t="s">
        <v>48</v>
      </c>
      <c r="D8" t="s">
        <v>11</v>
      </c>
      <c r="E8" t="s">
        <v>113</v>
      </c>
      <c r="F8" t="s">
        <v>43</v>
      </c>
      <c r="G8" s="10">
        <v>140</v>
      </c>
      <c r="H8" s="11">
        <f t="shared" si="0"/>
        <v>294.17142857142858</v>
      </c>
      <c r="I8">
        <v>10.6</v>
      </c>
      <c r="J8" s="10">
        <f t="shared" si="1"/>
        <v>46640</v>
      </c>
      <c r="K8" s="16" t="s">
        <v>114</v>
      </c>
      <c r="L8" s="6">
        <v>0.115</v>
      </c>
      <c r="M8" s="6">
        <v>0.13500000000000001</v>
      </c>
    </row>
    <row r="9" spans="1:13" x14ac:dyDescent="0.35">
      <c r="A9" t="s">
        <v>16</v>
      </c>
      <c r="B9" t="s">
        <v>47</v>
      </c>
      <c r="C9" t="s">
        <v>48</v>
      </c>
      <c r="D9" t="s">
        <v>11</v>
      </c>
      <c r="E9" t="s">
        <v>132</v>
      </c>
      <c r="F9" t="s">
        <v>44</v>
      </c>
      <c r="G9" s="10">
        <v>284</v>
      </c>
      <c r="H9" s="11">
        <f t="shared" si="0"/>
        <v>290.81690140845069</v>
      </c>
      <c r="I9">
        <v>20.72</v>
      </c>
      <c r="J9" s="10">
        <f t="shared" si="1"/>
        <v>91168</v>
      </c>
      <c r="K9" s="16" t="s">
        <v>133</v>
      </c>
      <c r="L9" s="6">
        <v>0.115</v>
      </c>
      <c r="M9" s="6">
        <v>0.13500000000000001</v>
      </c>
    </row>
    <row r="10" spans="1:13" x14ac:dyDescent="0.35">
      <c r="A10" t="s">
        <v>16</v>
      </c>
      <c r="B10" t="s">
        <v>47</v>
      </c>
      <c r="C10" t="s">
        <v>48</v>
      </c>
      <c r="D10" t="s">
        <v>11</v>
      </c>
      <c r="E10" t="s">
        <v>148</v>
      </c>
      <c r="F10" t="s">
        <v>45</v>
      </c>
      <c r="G10" s="10">
        <v>429</v>
      </c>
      <c r="H10" s="11">
        <f t="shared" si="0"/>
        <v>288.83682983682985</v>
      </c>
      <c r="I10">
        <v>31.64</v>
      </c>
      <c r="J10" s="10">
        <f t="shared" si="1"/>
        <v>139216</v>
      </c>
      <c r="K10" s="16" t="s">
        <v>145</v>
      </c>
      <c r="L10" s="6">
        <v>0.115</v>
      </c>
      <c r="M10" s="6">
        <v>0.13500000000000001</v>
      </c>
    </row>
    <row r="11" spans="1:13" x14ac:dyDescent="0.35">
      <c r="A11" t="s">
        <v>16</v>
      </c>
      <c r="B11" t="s">
        <v>47</v>
      </c>
      <c r="C11" t="s">
        <v>48</v>
      </c>
      <c r="D11" t="s">
        <v>11</v>
      </c>
      <c r="E11" t="s">
        <v>171</v>
      </c>
      <c r="F11" t="s">
        <v>46</v>
      </c>
      <c r="G11" s="10">
        <v>716</v>
      </c>
      <c r="H11" s="11">
        <f t="shared" si="0"/>
        <v>288.41201117318434</v>
      </c>
      <c r="I11">
        <v>52.39</v>
      </c>
      <c r="J11" s="10">
        <f t="shared" si="1"/>
        <v>230516</v>
      </c>
      <c r="K11" s="16" t="s">
        <v>170</v>
      </c>
      <c r="L11" s="6">
        <v>0.115</v>
      </c>
      <c r="M11" s="6">
        <v>0.13500000000000001</v>
      </c>
    </row>
    <row r="12" spans="1:13" x14ac:dyDescent="0.35">
      <c r="A12" t="s">
        <v>16</v>
      </c>
      <c r="B12" t="s">
        <v>47</v>
      </c>
      <c r="C12" t="s">
        <v>48</v>
      </c>
      <c r="D12" t="s">
        <v>11</v>
      </c>
      <c r="E12" t="s">
        <v>185</v>
      </c>
      <c r="F12" t="s">
        <v>183</v>
      </c>
      <c r="G12" s="10">
        <v>1145</v>
      </c>
      <c r="H12" s="11">
        <f t="shared" si="0"/>
        <v>288.57117903930128</v>
      </c>
      <c r="I12">
        <v>84.03</v>
      </c>
      <c r="J12" s="10">
        <f t="shared" si="1"/>
        <v>369732</v>
      </c>
      <c r="K12" s="16" t="s">
        <v>186</v>
      </c>
      <c r="L12" s="6">
        <v>0.115</v>
      </c>
      <c r="M12" s="6">
        <v>0.13500000000000001</v>
      </c>
    </row>
    <row r="13" spans="1:13" x14ac:dyDescent="0.35">
      <c r="A13" t="s">
        <v>16</v>
      </c>
      <c r="B13" t="s">
        <v>47</v>
      </c>
      <c r="C13" t="s">
        <v>48</v>
      </c>
      <c r="D13" t="s">
        <v>11</v>
      </c>
      <c r="E13" t="s">
        <v>196</v>
      </c>
      <c r="F13" t="s">
        <v>195</v>
      </c>
      <c r="G13" s="10">
        <v>1446</v>
      </c>
      <c r="H13" s="11">
        <f t="shared" si="0"/>
        <v>284.81396957123098</v>
      </c>
      <c r="I13">
        <v>105.96</v>
      </c>
      <c r="J13" s="10">
        <f t="shared" si="1"/>
        <v>466224</v>
      </c>
      <c r="K13" s="16" t="s">
        <v>197</v>
      </c>
      <c r="L13" s="6">
        <v>0.115</v>
      </c>
      <c r="M13" s="6">
        <v>0.13500000000000001</v>
      </c>
    </row>
    <row r="14" spans="1:13" x14ac:dyDescent="0.35">
      <c r="A14" t="s">
        <v>16</v>
      </c>
      <c r="B14" t="s">
        <v>47</v>
      </c>
      <c r="C14" t="s">
        <v>48</v>
      </c>
      <c r="D14" t="s">
        <v>11</v>
      </c>
      <c r="E14" t="s">
        <v>216</v>
      </c>
      <c r="F14" t="s">
        <v>217</v>
      </c>
      <c r="G14" s="10">
        <v>2976</v>
      </c>
      <c r="H14" s="11">
        <f t="shared" si="0"/>
        <v>272.02788978494624</v>
      </c>
      <c r="I14">
        <v>199.53</v>
      </c>
      <c r="J14" s="10">
        <f t="shared" si="1"/>
        <v>877932</v>
      </c>
      <c r="K14" s="16" t="s">
        <v>218</v>
      </c>
      <c r="L14" s="6">
        <v>0.115</v>
      </c>
      <c r="M14" s="6">
        <v>0.13500000000000001</v>
      </c>
    </row>
    <row r="15" spans="1:13" x14ac:dyDescent="0.35">
      <c r="A15" t="s">
        <v>16</v>
      </c>
      <c r="B15" t="s">
        <v>47</v>
      </c>
      <c r="C15" t="s">
        <v>48</v>
      </c>
      <c r="D15" t="s">
        <v>11</v>
      </c>
      <c r="E15" t="s">
        <v>242</v>
      </c>
      <c r="F15" t="s">
        <v>241</v>
      </c>
      <c r="G15" s="10">
        <v>5952</v>
      </c>
      <c r="H15" s="11">
        <f t="shared" si="0"/>
        <v>277.57325268817203</v>
      </c>
      <c r="I15">
        <v>425.02</v>
      </c>
      <c r="J15" s="10">
        <f t="shared" si="1"/>
        <v>1870088</v>
      </c>
      <c r="K15" s="16" t="s">
        <v>243</v>
      </c>
      <c r="L15" s="6">
        <v>0.115</v>
      </c>
      <c r="M15" s="6">
        <v>0.13500000000000001</v>
      </c>
    </row>
    <row r="16" spans="1:13" x14ac:dyDescent="0.35">
      <c r="A16" t="s">
        <v>16</v>
      </c>
      <c r="B16" t="s">
        <v>47</v>
      </c>
      <c r="C16" t="s">
        <v>48</v>
      </c>
      <c r="D16" t="s">
        <v>11</v>
      </c>
      <c r="E16" t="s">
        <v>250</v>
      </c>
      <c r="F16" t="s">
        <v>249</v>
      </c>
      <c r="G16" s="10">
        <v>7502</v>
      </c>
      <c r="H16" s="11">
        <f t="shared" si="0"/>
        <v>271.00226606238334</v>
      </c>
      <c r="I16">
        <v>501.09</v>
      </c>
      <c r="J16" s="10">
        <f t="shared" si="1"/>
        <v>2204796</v>
      </c>
      <c r="K16" s="16" t="s">
        <v>251</v>
      </c>
      <c r="L16" s="6">
        <v>0.115</v>
      </c>
      <c r="M16" s="6">
        <v>0.13500000000000001</v>
      </c>
    </row>
    <row r="17" spans="1:13" x14ac:dyDescent="0.35">
      <c r="A17" t="s">
        <v>16</v>
      </c>
      <c r="B17" t="s">
        <v>47</v>
      </c>
      <c r="C17" t="s">
        <v>48</v>
      </c>
      <c r="D17" t="s">
        <v>11</v>
      </c>
      <c r="E17" t="s">
        <v>264</v>
      </c>
      <c r="F17" t="s">
        <v>62</v>
      </c>
      <c r="I17">
        <v>45.62</v>
      </c>
      <c r="J17" s="10">
        <f t="shared" si="1"/>
        <v>200728</v>
      </c>
      <c r="K17" s="16" t="s">
        <v>265</v>
      </c>
      <c r="L17" s="6">
        <v>0.115</v>
      </c>
      <c r="M17" s="6">
        <v>0.13500000000000001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C480-511A-4D25-BD8C-CCF73BAA6895}">
  <dimension ref="A1:M18"/>
  <sheetViews>
    <sheetView topLeftCell="D1" workbookViewId="0">
      <selection activeCell="L1" sqref="L1:M1"/>
    </sheetView>
  </sheetViews>
  <sheetFormatPr defaultRowHeight="14.5" x14ac:dyDescent="0.35"/>
  <cols>
    <col min="1" max="1" width="9.81640625" bestFit="1" customWidth="1"/>
    <col min="3" max="3" width="16" bestFit="1" customWidth="1"/>
    <col min="4" max="4" width="9.26953125" bestFit="1" customWidth="1"/>
    <col min="5" max="5" width="20.36328125" bestFit="1" customWidth="1"/>
    <col min="6" max="6" width="20.08984375" bestFit="1" customWidth="1"/>
    <col min="7" max="7" width="0" hidden="1" customWidth="1"/>
    <col min="8" max="8" width="34.453125" bestFit="1" customWidth="1"/>
    <col min="9" max="9" width="23.90625" style="12" hidden="1" customWidth="1"/>
    <col min="10" max="10" width="20.6328125" hidden="1" customWidth="1"/>
    <col min="11" max="11" width="49.36328125" bestFit="1" customWidth="1"/>
    <col min="12" max="12" width="20.54296875" bestFit="1" customWidth="1"/>
    <col min="13" max="13" width="21.08984375" bestFit="1" customWidth="1"/>
  </cols>
  <sheetData>
    <row r="1" spans="1:13" s="10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275</v>
      </c>
      <c r="H1" s="1" t="s">
        <v>6</v>
      </c>
      <c r="I1" s="7" t="s">
        <v>276</v>
      </c>
      <c r="J1" s="1" t="s">
        <v>7</v>
      </c>
      <c r="K1" s="1" t="s">
        <v>285</v>
      </c>
      <c r="L1" s="7" t="s">
        <v>286</v>
      </c>
      <c r="M1" s="1" t="s">
        <v>287</v>
      </c>
    </row>
    <row r="2" spans="1:13" s="10" customFormat="1" x14ac:dyDescent="0.35">
      <c r="A2" s="10" t="s">
        <v>14</v>
      </c>
      <c r="B2" s="10" t="s">
        <v>47</v>
      </c>
      <c r="C2" s="10" t="s">
        <v>48</v>
      </c>
      <c r="D2" s="10" t="s">
        <v>11</v>
      </c>
      <c r="E2" s="10" t="s">
        <v>60</v>
      </c>
      <c r="F2" s="10" t="s">
        <v>69</v>
      </c>
      <c r="G2" s="10">
        <v>11</v>
      </c>
      <c r="H2" s="10" t="s">
        <v>24</v>
      </c>
      <c r="I2" s="12">
        <f>K2/G2</f>
        <v>246.09090909090909</v>
      </c>
      <c r="J2" s="10">
        <v>10.28</v>
      </c>
      <c r="K2" s="19" t="s">
        <v>70</v>
      </c>
      <c r="L2" s="18">
        <v>0.1</v>
      </c>
      <c r="M2" s="17">
        <v>0.12</v>
      </c>
    </row>
    <row r="3" spans="1:13" s="10" customFormat="1" x14ac:dyDescent="0.35">
      <c r="A3" s="10" t="s">
        <v>14</v>
      </c>
      <c r="B3" s="10" t="s">
        <v>47</v>
      </c>
      <c r="C3" s="10" t="s">
        <v>48</v>
      </c>
      <c r="D3" s="10" t="s">
        <v>11</v>
      </c>
      <c r="E3" s="10" t="s">
        <v>78</v>
      </c>
      <c r="F3" s="10" t="s">
        <v>81</v>
      </c>
      <c r="G3" s="10">
        <v>22</v>
      </c>
      <c r="H3" s="10" t="s">
        <v>25</v>
      </c>
      <c r="I3" s="12">
        <f>K3/G3</f>
        <v>246.09090909090909</v>
      </c>
      <c r="J3" s="10">
        <v>20.55</v>
      </c>
      <c r="K3" s="19" t="s">
        <v>82</v>
      </c>
      <c r="L3" s="18">
        <v>0.1</v>
      </c>
      <c r="M3" s="17">
        <v>0.12</v>
      </c>
    </row>
    <row r="4" spans="1:13" s="10" customFormat="1" x14ac:dyDescent="0.35">
      <c r="A4" s="10" t="s">
        <v>14</v>
      </c>
      <c r="B4" s="10" t="s">
        <v>47</v>
      </c>
      <c r="C4" s="10" t="s">
        <v>48</v>
      </c>
      <c r="D4" s="10" t="s">
        <v>11</v>
      </c>
      <c r="E4" s="10" t="s">
        <v>90</v>
      </c>
      <c r="F4" s="10" t="s">
        <v>95</v>
      </c>
      <c r="G4" s="10">
        <v>56</v>
      </c>
      <c r="H4" s="10" t="s">
        <v>26</v>
      </c>
      <c r="I4" s="12">
        <f>K4/G4</f>
        <v>241.71428571428572</v>
      </c>
      <c r="J4" s="10">
        <v>51.12</v>
      </c>
      <c r="K4" s="19" t="s">
        <v>96</v>
      </c>
      <c r="L4" s="18">
        <v>0.1</v>
      </c>
      <c r="M4" s="17">
        <v>0.12</v>
      </c>
    </row>
    <row r="5" spans="1:13" s="10" customFormat="1" x14ac:dyDescent="0.35">
      <c r="A5" s="10" t="s">
        <v>14</v>
      </c>
      <c r="B5" s="10" t="s">
        <v>47</v>
      </c>
      <c r="C5" s="10" t="s">
        <v>48</v>
      </c>
      <c r="D5" s="10" t="s">
        <v>11</v>
      </c>
      <c r="E5" s="10" t="s">
        <v>105</v>
      </c>
      <c r="F5" s="10" t="s">
        <v>106</v>
      </c>
      <c r="G5" s="10">
        <v>112</v>
      </c>
      <c r="H5" s="10" t="s">
        <v>27</v>
      </c>
      <c r="I5" s="12">
        <f>K5/G5</f>
        <v>241.70535714285714</v>
      </c>
      <c r="J5" s="10">
        <v>101.78</v>
      </c>
      <c r="K5" s="19" t="s">
        <v>107</v>
      </c>
      <c r="L5" s="18">
        <v>0.1</v>
      </c>
      <c r="M5" s="17">
        <v>0.12</v>
      </c>
    </row>
    <row r="6" spans="1:13" s="10" customFormat="1" x14ac:dyDescent="0.35">
      <c r="A6" s="10" t="s">
        <v>14</v>
      </c>
      <c r="B6" s="10" t="s">
        <v>47</v>
      </c>
      <c r="C6" s="10" t="s">
        <v>48</v>
      </c>
      <c r="D6" s="10" t="s">
        <v>11</v>
      </c>
      <c r="E6" s="10" t="s">
        <v>54</v>
      </c>
      <c r="F6" s="10" t="s">
        <v>117</v>
      </c>
      <c r="G6" s="10">
        <v>168</v>
      </c>
      <c r="H6" s="10" t="s">
        <v>55</v>
      </c>
      <c r="I6" s="12">
        <f>K6/G6</f>
        <v>241.70833333333334</v>
      </c>
      <c r="J6" s="10">
        <v>153.80000000000001</v>
      </c>
      <c r="K6" s="19" t="s">
        <v>118</v>
      </c>
      <c r="L6" s="18">
        <v>0.1</v>
      </c>
      <c r="M6" s="17">
        <v>0.12</v>
      </c>
    </row>
    <row r="7" spans="1:13" s="10" customFormat="1" x14ac:dyDescent="0.35">
      <c r="A7" s="10" t="s">
        <v>14</v>
      </c>
      <c r="B7" s="10" t="s">
        <v>47</v>
      </c>
      <c r="C7" s="10" t="s">
        <v>48</v>
      </c>
      <c r="D7" s="10" t="s">
        <v>11</v>
      </c>
      <c r="E7" s="10" t="s">
        <v>138</v>
      </c>
      <c r="F7" s="10" t="s">
        <v>139</v>
      </c>
      <c r="G7" s="10">
        <v>336</v>
      </c>
      <c r="H7" s="10" t="s">
        <v>28</v>
      </c>
      <c r="I7" s="12">
        <f>K7/G7</f>
        <v>241.70833333333334</v>
      </c>
      <c r="J7" s="10">
        <v>306.99</v>
      </c>
      <c r="K7" s="19" t="s">
        <v>140</v>
      </c>
      <c r="L7" s="18">
        <v>0.1</v>
      </c>
      <c r="M7" s="17">
        <v>0.12</v>
      </c>
    </row>
    <row r="8" spans="1:13" s="10" customFormat="1" x14ac:dyDescent="0.35">
      <c r="A8" s="10" t="s">
        <v>14</v>
      </c>
      <c r="B8" s="10" t="s">
        <v>47</v>
      </c>
      <c r="C8" s="10" t="s">
        <v>48</v>
      </c>
      <c r="D8" s="10" t="s">
        <v>11</v>
      </c>
      <c r="E8" s="10" t="s">
        <v>155</v>
      </c>
      <c r="F8" s="10" t="s">
        <v>159</v>
      </c>
      <c r="G8" s="10">
        <v>570</v>
      </c>
      <c r="H8" s="10" t="s">
        <v>29</v>
      </c>
      <c r="I8" s="12">
        <f>K8/G8</f>
        <v>237.46666666666667</v>
      </c>
      <c r="J8" s="10">
        <v>495.4</v>
      </c>
      <c r="K8" s="19" t="s">
        <v>64</v>
      </c>
      <c r="L8" s="18">
        <v>0.1</v>
      </c>
      <c r="M8" s="17">
        <v>0.12</v>
      </c>
    </row>
    <row r="9" spans="1:13" s="10" customFormat="1" x14ac:dyDescent="0.35">
      <c r="A9" s="10" t="s">
        <v>14</v>
      </c>
      <c r="B9" s="10" t="s">
        <v>47</v>
      </c>
      <c r="C9" s="10" t="s">
        <v>48</v>
      </c>
      <c r="D9" s="10" t="s">
        <v>11</v>
      </c>
      <c r="E9" s="10" t="s">
        <v>161</v>
      </c>
      <c r="F9" s="10" t="s">
        <v>163</v>
      </c>
      <c r="G9" s="10">
        <v>626</v>
      </c>
      <c r="H9" s="10" t="s">
        <v>162</v>
      </c>
      <c r="I9" s="12">
        <f>K9/G9</f>
        <v>237.84664536741215</v>
      </c>
      <c r="J9" s="10">
        <v>563.94000000000005</v>
      </c>
      <c r="K9" s="19" t="s">
        <v>160</v>
      </c>
      <c r="L9" s="18">
        <v>0.1</v>
      </c>
      <c r="M9" s="17">
        <v>0.12</v>
      </c>
    </row>
    <row r="10" spans="1:13" s="10" customFormat="1" x14ac:dyDescent="0.35">
      <c r="A10" s="10" t="s">
        <v>14</v>
      </c>
      <c r="B10" s="10" t="s">
        <v>47</v>
      </c>
      <c r="C10" s="10" t="s">
        <v>48</v>
      </c>
      <c r="D10" s="10" t="s">
        <v>11</v>
      </c>
      <c r="E10" s="10" t="s">
        <v>187</v>
      </c>
      <c r="F10" s="10" t="s">
        <v>188</v>
      </c>
      <c r="G10" s="10">
        <v>1163</v>
      </c>
      <c r="H10" s="10" t="s">
        <v>30</v>
      </c>
      <c r="I10" s="12">
        <f>K10/G10</f>
        <v>232.77042132416165</v>
      </c>
      <c r="J10" s="10">
        <v>1053.6400000000001</v>
      </c>
      <c r="K10" s="19" t="s">
        <v>189</v>
      </c>
      <c r="L10" s="18">
        <v>0.1</v>
      </c>
      <c r="M10" s="17">
        <v>0.12</v>
      </c>
    </row>
    <row r="11" spans="1:13" s="10" customFormat="1" x14ac:dyDescent="0.35">
      <c r="A11" s="10" t="s">
        <v>14</v>
      </c>
      <c r="B11" s="10" t="s">
        <v>47</v>
      </c>
      <c r="C11" s="10" t="s">
        <v>48</v>
      </c>
      <c r="D11" s="10" t="s">
        <v>11</v>
      </c>
      <c r="E11" s="10" t="s">
        <v>211</v>
      </c>
      <c r="F11" s="10" t="s">
        <v>212</v>
      </c>
      <c r="G11" s="10">
        <v>2398</v>
      </c>
      <c r="H11" s="10" t="s">
        <v>31</v>
      </c>
      <c r="I11" s="12">
        <f>K11/G11</f>
        <v>225.78190158465387</v>
      </c>
      <c r="J11" s="10">
        <v>2046.54</v>
      </c>
      <c r="K11" s="19" t="s">
        <v>213</v>
      </c>
      <c r="L11" s="18">
        <v>0.1</v>
      </c>
      <c r="M11" s="17">
        <v>0.12</v>
      </c>
    </row>
    <row r="12" spans="1:13" s="10" customFormat="1" x14ac:dyDescent="0.35">
      <c r="A12" s="10" t="s">
        <v>14</v>
      </c>
      <c r="B12" s="10" t="s">
        <v>47</v>
      </c>
      <c r="C12" s="10" t="s">
        <v>48</v>
      </c>
      <c r="D12" s="10" t="s">
        <v>11</v>
      </c>
      <c r="E12" s="10" t="s">
        <v>233</v>
      </c>
      <c r="F12" s="10" t="s">
        <v>234</v>
      </c>
      <c r="G12" s="10">
        <v>4796</v>
      </c>
      <c r="H12" s="10" t="s">
        <v>235</v>
      </c>
      <c r="I12" s="12">
        <f>K12/G12</f>
        <v>225.78190158465387</v>
      </c>
      <c r="J12" s="10">
        <v>4214.57</v>
      </c>
      <c r="K12" s="19" t="s">
        <v>236</v>
      </c>
      <c r="L12" s="18">
        <v>0.1</v>
      </c>
      <c r="M12" s="17">
        <v>0.12</v>
      </c>
    </row>
    <row r="13" spans="1:13" s="10" customFormat="1" x14ac:dyDescent="0.35">
      <c r="A13" s="10" t="s">
        <v>14</v>
      </c>
      <c r="B13" s="10" t="s">
        <v>47</v>
      </c>
      <c r="C13" s="10" t="s">
        <v>48</v>
      </c>
      <c r="D13" s="10" t="s">
        <v>11</v>
      </c>
      <c r="E13" s="10" t="s">
        <v>244</v>
      </c>
      <c r="F13" s="10" t="s">
        <v>245</v>
      </c>
      <c r="G13" s="10">
        <v>6042</v>
      </c>
      <c r="H13" s="10" t="s">
        <v>32</v>
      </c>
      <c r="I13" s="12">
        <f>K13/G13</f>
        <v>224.0254882489242</v>
      </c>
      <c r="J13" s="10">
        <v>5116.37</v>
      </c>
      <c r="K13" s="19" t="s">
        <v>246</v>
      </c>
      <c r="L13" s="18">
        <v>0.1</v>
      </c>
      <c r="M13" s="17">
        <v>0.12</v>
      </c>
    </row>
    <row r="14" spans="1:13" s="10" customFormat="1" x14ac:dyDescent="0.35">
      <c r="A14" s="10" t="s">
        <v>14</v>
      </c>
      <c r="B14" s="10" t="s">
        <v>47</v>
      </c>
      <c r="C14" s="10" t="s">
        <v>48</v>
      </c>
      <c r="D14" s="10" t="s">
        <v>11</v>
      </c>
      <c r="E14" s="10" t="s">
        <v>252</v>
      </c>
      <c r="F14" s="10" t="s">
        <v>254</v>
      </c>
      <c r="G14" s="10">
        <v>8440</v>
      </c>
      <c r="H14" s="10" t="s">
        <v>253</v>
      </c>
      <c r="I14" s="12">
        <f>K14/G14</f>
        <v>224.52452606635072</v>
      </c>
      <c r="J14" s="10">
        <v>7170.18</v>
      </c>
      <c r="K14" s="19" t="s">
        <v>255</v>
      </c>
      <c r="L14" s="18">
        <v>0.1</v>
      </c>
      <c r="M14" s="17">
        <v>0.12</v>
      </c>
    </row>
    <row r="15" spans="1:13" s="10" customFormat="1" x14ac:dyDescent="0.35">
      <c r="A15" s="10" t="s">
        <v>14</v>
      </c>
      <c r="B15" s="10" t="s">
        <v>47</v>
      </c>
      <c r="C15" s="10" t="s">
        <v>48</v>
      </c>
      <c r="D15" s="10" t="s">
        <v>11</v>
      </c>
      <c r="E15" s="10" t="s">
        <v>260</v>
      </c>
      <c r="F15" s="10" t="s">
        <v>262</v>
      </c>
      <c r="G15" s="10">
        <v>12084</v>
      </c>
      <c r="H15" s="10" t="s">
        <v>261</v>
      </c>
      <c r="I15" s="12">
        <f>K15/G15</f>
        <v>224.0254882489242</v>
      </c>
      <c r="J15" s="10">
        <v>10243.120000000001</v>
      </c>
      <c r="K15" s="19" t="s">
        <v>263</v>
      </c>
      <c r="L15" s="18">
        <v>0.1</v>
      </c>
      <c r="M15" s="17">
        <v>0.12</v>
      </c>
    </row>
    <row r="16" spans="1:13" s="10" customFormat="1" x14ac:dyDescent="0.35">
      <c r="A16" s="10" t="s">
        <v>14</v>
      </c>
      <c r="B16" s="10" t="s">
        <v>47</v>
      </c>
      <c r="C16" s="10" t="s">
        <v>48</v>
      </c>
      <c r="D16" s="10" t="s">
        <v>11</v>
      </c>
      <c r="E16" s="10" t="s">
        <v>61</v>
      </c>
      <c r="F16" s="10" t="s">
        <v>266</v>
      </c>
      <c r="H16" s="10" t="s">
        <v>62</v>
      </c>
      <c r="I16" s="12"/>
      <c r="J16" s="10">
        <v>532.59</v>
      </c>
      <c r="K16" s="19" t="s">
        <v>158</v>
      </c>
      <c r="L16" s="18">
        <v>0.1</v>
      </c>
      <c r="M16" s="17">
        <v>0.12</v>
      </c>
    </row>
    <row r="17" spans="11:11" x14ac:dyDescent="0.35">
      <c r="K17" s="19"/>
    </row>
    <row r="18" spans="11:11" x14ac:dyDescent="0.35">
      <c r="K18" s="19" t="s">
        <v>288</v>
      </c>
    </row>
  </sheetData>
  <autoFilter ref="A1:K1" xr:uid="{2FD1C480-511A-4D25-BD8C-CCF73BAA689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3F25-C8F6-48C8-802B-9D54763E3F5A}">
  <dimension ref="A1:K21"/>
  <sheetViews>
    <sheetView workbookViewId="0">
      <selection activeCell="J1" sqref="J1:K1"/>
    </sheetView>
  </sheetViews>
  <sheetFormatPr defaultRowHeight="14.5" x14ac:dyDescent="0.35"/>
  <cols>
    <col min="3" max="3" width="16" bestFit="1" customWidth="1"/>
    <col min="4" max="4" width="18.54296875" customWidth="1"/>
    <col min="5" max="5" width="16.36328125" hidden="1" customWidth="1"/>
    <col min="6" max="6" width="16.36328125" style="10" hidden="1" customWidth="1"/>
    <col min="7" max="7" width="32.36328125" bestFit="1" customWidth="1"/>
    <col min="8" max="8" width="20.36328125" hidden="1" customWidth="1"/>
    <col min="9" max="9" width="18.26953125" customWidth="1"/>
    <col min="10" max="10" width="20.54296875" bestFit="1" customWidth="1"/>
    <col min="11" max="11" width="21.08984375" bestFit="1" customWidth="1"/>
  </cols>
  <sheetData>
    <row r="1" spans="1:11" s="10" customFormat="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277</v>
      </c>
      <c r="F1" s="1" t="s">
        <v>278</v>
      </c>
      <c r="G1" s="1" t="s">
        <v>6</v>
      </c>
      <c r="H1" s="1" t="s">
        <v>7</v>
      </c>
      <c r="I1" s="1" t="s">
        <v>285</v>
      </c>
      <c r="J1" s="7" t="s">
        <v>286</v>
      </c>
      <c r="K1" s="1" t="s">
        <v>287</v>
      </c>
    </row>
    <row r="2" spans="1:11" s="10" customFormat="1" x14ac:dyDescent="0.35">
      <c r="A2" s="10" t="s">
        <v>17</v>
      </c>
      <c r="B2" s="10" t="s">
        <v>47</v>
      </c>
      <c r="C2" s="10" t="s">
        <v>48</v>
      </c>
      <c r="D2" s="10" t="s">
        <v>71</v>
      </c>
      <c r="E2" s="10">
        <f>I2/F2</f>
        <v>260.27272727272725</v>
      </c>
      <c r="F2" s="10">
        <v>11</v>
      </c>
      <c r="G2" s="10" t="s">
        <v>24</v>
      </c>
      <c r="H2" s="10">
        <v>5.76</v>
      </c>
      <c r="I2" s="10" t="s">
        <v>72</v>
      </c>
      <c r="J2" s="6">
        <v>0.08</v>
      </c>
      <c r="K2" s="17">
        <v>0.1</v>
      </c>
    </row>
    <row r="3" spans="1:11" s="10" customFormat="1" x14ac:dyDescent="0.35">
      <c r="A3" s="10" t="s">
        <v>17</v>
      </c>
      <c r="B3" s="10" t="s">
        <v>47</v>
      </c>
      <c r="C3" s="10" t="s">
        <v>48</v>
      </c>
      <c r="D3" s="10" t="s">
        <v>79</v>
      </c>
      <c r="E3" s="10">
        <f>I3/F3</f>
        <v>256.68181818181819</v>
      </c>
      <c r="F3" s="10">
        <v>22</v>
      </c>
      <c r="G3" s="10" t="s">
        <v>25</v>
      </c>
      <c r="H3" s="10">
        <v>11.34</v>
      </c>
      <c r="I3" s="10" t="s">
        <v>80</v>
      </c>
      <c r="J3" s="6">
        <v>0.08</v>
      </c>
      <c r="K3" s="17">
        <v>0.1</v>
      </c>
    </row>
    <row r="4" spans="1:11" s="10" customFormat="1" x14ac:dyDescent="0.35">
      <c r="A4" s="10" t="s">
        <v>17</v>
      </c>
      <c r="B4" s="10" t="s">
        <v>47</v>
      </c>
      <c r="C4" s="10" t="s">
        <v>48</v>
      </c>
      <c r="D4" s="10" t="s">
        <v>93</v>
      </c>
      <c r="E4" s="10">
        <f>I4/F4</f>
        <v>251.28571428571428</v>
      </c>
      <c r="F4" s="10">
        <v>56</v>
      </c>
      <c r="G4" s="10" t="s">
        <v>26</v>
      </c>
      <c r="H4" s="10">
        <v>27.58</v>
      </c>
      <c r="I4" s="10" t="s">
        <v>94</v>
      </c>
      <c r="J4" s="6">
        <v>0.08</v>
      </c>
      <c r="K4" s="17">
        <v>0.1</v>
      </c>
    </row>
    <row r="5" spans="1:11" s="10" customFormat="1" x14ac:dyDescent="0.35">
      <c r="A5" s="10" t="s">
        <v>17</v>
      </c>
      <c r="B5" s="10" t="s">
        <v>47</v>
      </c>
      <c r="C5" s="10" t="s">
        <v>48</v>
      </c>
      <c r="D5" s="10" t="s">
        <v>103</v>
      </c>
      <c r="E5" s="10">
        <f>I5/F5</f>
        <v>247.52325581395348</v>
      </c>
      <c r="F5" s="10">
        <v>86</v>
      </c>
      <c r="G5" s="10" t="s">
        <v>23</v>
      </c>
      <c r="H5" s="10">
        <v>45.47</v>
      </c>
      <c r="I5" s="10" t="s">
        <v>104</v>
      </c>
      <c r="J5" s="6">
        <v>0.08</v>
      </c>
      <c r="K5" s="17">
        <v>0.1</v>
      </c>
    </row>
    <row r="6" spans="1:11" s="10" customFormat="1" x14ac:dyDescent="0.35">
      <c r="A6" s="10" t="s">
        <v>17</v>
      </c>
      <c r="B6" s="10" t="s">
        <v>47</v>
      </c>
      <c r="C6" s="10" t="s">
        <v>48</v>
      </c>
      <c r="D6" s="10" t="s">
        <v>111</v>
      </c>
      <c r="E6" s="10">
        <f>I6/F6</f>
        <v>251.67857142857142</v>
      </c>
      <c r="F6" s="10">
        <v>112</v>
      </c>
      <c r="G6" s="10" t="s">
        <v>27</v>
      </c>
      <c r="H6" s="10">
        <v>54.43</v>
      </c>
      <c r="I6" s="10" t="s">
        <v>112</v>
      </c>
      <c r="J6" s="6">
        <v>0.08</v>
      </c>
      <c r="K6" s="17">
        <v>0.1</v>
      </c>
    </row>
    <row r="7" spans="1:11" s="10" customFormat="1" x14ac:dyDescent="0.35">
      <c r="A7" s="10" t="s">
        <v>17</v>
      </c>
      <c r="B7" s="10" t="s">
        <v>47</v>
      </c>
      <c r="C7" s="10" t="s">
        <v>48</v>
      </c>
      <c r="D7" s="10" t="s">
        <v>115</v>
      </c>
      <c r="E7" s="10">
        <f>I7/F7</f>
        <v>245.10714285714286</v>
      </c>
      <c r="F7" s="10">
        <v>168</v>
      </c>
      <c r="G7" s="10" t="s">
        <v>55</v>
      </c>
      <c r="H7" s="10">
        <v>84.01</v>
      </c>
      <c r="I7" s="10" t="s">
        <v>116</v>
      </c>
      <c r="J7" s="6">
        <v>0.08</v>
      </c>
      <c r="K7" s="17">
        <v>0.1</v>
      </c>
    </row>
    <row r="8" spans="1:11" s="10" customFormat="1" x14ac:dyDescent="0.35">
      <c r="A8" s="10" t="s">
        <v>17</v>
      </c>
      <c r="B8" s="10" t="s">
        <v>47</v>
      </c>
      <c r="C8" s="10" t="s">
        <v>48</v>
      </c>
      <c r="D8" s="10" t="s">
        <v>130</v>
      </c>
      <c r="E8" s="10">
        <f>I8/F8</f>
        <v>247.43579766536965</v>
      </c>
      <c r="F8" s="10">
        <v>257</v>
      </c>
      <c r="G8" s="10" t="s">
        <v>20</v>
      </c>
      <c r="H8" s="10">
        <v>127.58</v>
      </c>
      <c r="I8" s="10" t="s">
        <v>131</v>
      </c>
      <c r="J8" s="6">
        <v>0.08</v>
      </c>
      <c r="K8" s="17">
        <v>0.1</v>
      </c>
    </row>
    <row r="9" spans="1:11" s="10" customFormat="1" x14ac:dyDescent="0.35">
      <c r="A9" s="10" t="s">
        <v>17</v>
      </c>
      <c r="B9" s="10" t="s">
        <v>47</v>
      </c>
      <c r="C9" s="10" t="s">
        <v>48</v>
      </c>
      <c r="D9" s="10" t="s">
        <v>141</v>
      </c>
      <c r="E9" s="10">
        <f>I9/F9</f>
        <v>247.5203488372093</v>
      </c>
      <c r="F9" s="10">
        <v>344</v>
      </c>
      <c r="G9" s="10" t="s">
        <v>58</v>
      </c>
      <c r="H9" s="10">
        <v>170.82</v>
      </c>
      <c r="I9" s="10" t="s">
        <v>142</v>
      </c>
      <c r="J9" s="6">
        <v>0.08</v>
      </c>
      <c r="K9" s="17">
        <v>0.1</v>
      </c>
    </row>
    <row r="10" spans="1:11" s="10" customFormat="1" x14ac:dyDescent="0.35">
      <c r="A10" s="10" t="s">
        <v>17</v>
      </c>
      <c r="B10" s="10" t="s">
        <v>47</v>
      </c>
      <c r="C10" s="10" t="s">
        <v>48</v>
      </c>
      <c r="D10" s="10" t="s">
        <v>146</v>
      </c>
      <c r="E10" s="10">
        <f>I10/F10</f>
        <v>247.47086247086247</v>
      </c>
      <c r="F10" s="10">
        <v>429</v>
      </c>
      <c r="G10" s="10" t="s">
        <v>59</v>
      </c>
      <c r="H10" s="10">
        <v>216.93</v>
      </c>
      <c r="I10" s="10" t="s">
        <v>147</v>
      </c>
      <c r="J10" s="6">
        <v>0.08</v>
      </c>
      <c r="K10" s="17">
        <v>0.1</v>
      </c>
    </row>
    <row r="11" spans="1:11" s="10" customFormat="1" x14ac:dyDescent="0.35">
      <c r="A11" s="10" t="s">
        <v>17</v>
      </c>
      <c r="B11" s="10" t="s">
        <v>47</v>
      </c>
      <c r="C11" s="10" t="s">
        <v>48</v>
      </c>
      <c r="D11" s="10" t="s">
        <v>151</v>
      </c>
      <c r="E11" s="10">
        <f>I11/F11</f>
        <v>247.43579766536965</v>
      </c>
      <c r="F11" s="10">
        <v>514</v>
      </c>
      <c r="G11" s="10" t="s">
        <v>152</v>
      </c>
      <c r="H11" s="10">
        <v>255.15</v>
      </c>
      <c r="I11" s="10" t="s">
        <v>153</v>
      </c>
      <c r="J11" s="6">
        <v>0.08</v>
      </c>
      <c r="K11" s="17">
        <v>0.1</v>
      </c>
    </row>
    <row r="12" spans="1:11" s="10" customFormat="1" x14ac:dyDescent="0.35">
      <c r="A12" s="10" t="s">
        <v>17</v>
      </c>
      <c r="B12" s="10" t="s">
        <v>47</v>
      </c>
      <c r="C12" s="10" t="s">
        <v>48</v>
      </c>
      <c r="D12" s="10" t="s">
        <v>156</v>
      </c>
      <c r="E12" s="10">
        <f>I12/F12</f>
        <v>245.14035087719299</v>
      </c>
      <c r="F12" s="10">
        <v>570</v>
      </c>
      <c r="G12" s="10" t="s">
        <v>29</v>
      </c>
      <c r="H12" s="10">
        <v>275.75</v>
      </c>
      <c r="I12" s="10" t="s">
        <v>157</v>
      </c>
      <c r="J12" s="6">
        <v>0.08</v>
      </c>
      <c r="K12" s="17">
        <v>0.1</v>
      </c>
    </row>
    <row r="13" spans="1:11" s="10" customFormat="1" x14ac:dyDescent="0.35">
      <c r="A13" s="10" t="s">
        <v>17</v>
      </c>
      <c r="B13" s="10" t="s">
        <v>47</v>
      </c>
      <c r="C13" s="10" t="s">
        <v>48</v>
      </c>
      <c r="D13" s="10" t="s">
        <v>168</v>
      </c>
      <c r="E13" s="10">
        <f>I13/F13</f>
        <v>241.20821529745044</v>
      </c>
      <c r="F13" s="10">
        <v>706</v>
      </c>
      <c r="G13" s="10" t="s">
        <v>165</v>
      </c>
      <c r="H13" s="10">
        <v>347.97</v>
      </c>
      <c r="I13" s="10" t="s">
        <v>169</v>
      </c>
      <c r="J13" s="6">
        <v>0.08</v>
      </c>
      <c r="K13" s="17">
        <v>0.1</v>
      </c>
    </row>
    <row r="14" spans="1:11" s="10" customFormat="1" x14ac:dyDescent="0.35">
      <c r="A14" s="10" t="s">
        <v>17</v>
      </c>
      <c r="B14" s="10" t="s">
        <v>47</v>
      </c>
      <c r="C14" s="10" t="s">
        <v>48</v>
      </c>
      <c r="D14" s="10" t="s">
        <v>175</v>
      </c>
      <c r="E14" s="10">
        <f>I14/F14</f>
        <v>241.89393939393941</v>
      </c>
      <c r="F14" s="10">
        <v>792</v>
      </c>
      <c r="G14" s="10" t="s">
        <v>176</v>
      </c>
      <c r="H14" s="10">
        <v>384.35</v>
      </c>
      <c r="I14" s="10" t="s">
        <v>177</v>
      </c>
      <c r="J14" s="6">
        <v>0.08</v>
      </c>
      <c r="K14" s="17">
        <v>0.1</v>
      </c>
    </row>
    <row r="15" spans="1:11" s="10" customFormat="1" x14ac:dyDescent="0.35">
      <c r="A15" s="10" t="s">
        <v>17</v>
      </c>
      <c r="B15" s="10" t="s">
        <v>47</v>
      </c>
      <c r="C15" s="10" t="s">
        <v>48</v>
      </c>
      <c r="D15" s="10" t="s">
        <v>180</v>
      </c>
      <c r="E15" s="10">
        <f>I15/F15</f>
        <v>242.87123572170302</v>
      </c>
      <c r="F15" s="10">
        <v>963</v>
      </c>
      <c r="G15" s="10" t="s">
        <v>179</v>
      </c>
      <c r="H15" s="10">
        <v>477.91</v>
      </c>
      <c r="I15" s="10" t="s">
        <v>181</v>
      </c>
      <c r="J15" s="6">
        <v>0.08</v>
      </c>
      <c r="K15" s="17">
        <v>0.1</v>
      </c>
    </row>
    <row r="16" spans="1:11" s="10" customFormat="1" x14ac:dyDescent="0.35">
      <c r="A16" s="10" t="s">
        <v>17</v>
      </c>
      <c r="B16" s="10" t="s">
        <v>47</v>
      </c>
      <c r="C16" s="10" t="s">
        <v>48</v>
      </c>
      <c r="D16" s="10" t="s">
        <v>190</v>
      </c>
      <c r="E16" s="10">
        <f>I16/F16</f>
        <v>242.21926053310403</v>
      </c>
      <c r="F16" s="10">
        <v>1163</v>
      </c>
      <c r="G16" s="10" t="s">
        <v>30</v>
      </c>
      <c r="H16" s="10">
        <v>562.54</v>
      </c>
      <c r="I16" s="10" t="s">
        <v>191</v>
      </c>
      <c r="J16" s="6">
        <v>0.08</v>
      </c>
      <c r="K16" s="17">
        <v>0.1</v>
      </c>
    </row>
    <row r="17" spans="1:11" s="10" customFormat="1" x14ac:dyDescent="0.35">
      <c r="A17" s="10" t="s">
        <v>17</v>
      </c>
      <c r="B17" s="10" t="s">
        <v>47</v>
      </c>
      <c r="C17" s="10" t="s">
        <v>48</v>
      </c>
      <c r="D17" s="10" t="s">
        <v>193</v>
      </c>
      <c r="E17" s="10">
        <f>I17/F17</f>
        <v>241.20892351274787</v>
      </c>
      <c r="F17" s="10">
        <v>1412</v>
      </c>
      <c r="G17" s="10" t="s">
        <v>192</v>
      </c>
      <c r="H17" s="10">
        <v>695.94</v>
      </c>
      <c r="I17" s="10" t="s">
        <v>194</v>
      </c>
      <c r="J17" s="6">
        <v>0.08</v>
      </c>
      <c r="K17" s="17">
        <v>0.1</v>
      </c>
    </row>
    <row r="18" spans="1:11" s="10" customFormat="1" x14ac:dyDescent="0.35">
      <c r="A18" s="10" t="s">
        <v>17</v>
      </c>
      <c r="B18" s="10" t="s">
        <v>47</v>
      </c>
      <c r="C18" s="10" t="s">
        <v>48</v>
      </c>
      <c r="D18" s="10" t="s">
        <v>209</v>
      </c>
      <c r="E18" s="10">
        <f>I18/F18</f>
        <v>232.74715261958997</v>
      </c>
      <c r="F18" s="10">
        <v>2195</v>
      </c>
      <c r="G18" s="10" t="s">
        <v>206</v>
      </c>
      <c r="H18" s="10">
        <v>1043.9100000000001</v>
      </c>
      <c r="I18" s="10" t="s">
        <v>210</v>
      </c>
      <c r="J18" s="6">
        <v>0.08</v>
      </c>
      <c r="K18" s="17">
        <v>0.1</v>
      </c>
    </row>
    <row r="19" spans="1:11" s="10" customFormat="1" x14ac:dyDescent="0.35">
      <c r="A19" s="10" t="s">
        <v>17</v>
      </c>
      <c r="B19" s="10" t="s">
        <v>47</v>
      </c>
      <c r="C19" s="10" t="s">
        <v>48</v>
      </c>
      <c r="D19" s="10" t="s">
        <v>214</v>
      </c>
      <c r="E19" s="10">
        <f>I19/F19</f>
        <v>236.36447039199334</v>
      </c>
      <c r="F19" s="10">
        <v>2398</v>
      </c>
      <c r="G19" s="10" t="s">
        <v>31</v>
      </c>
      <c r="H19" s="10">
        <v>1103.95</v>
      </c>
      <c r="I19" s="10" t="s">
        <v>215</v>
      </c>
      <c r="J19" s="6">
        <v>0.08</v>
      </c>
      <c r="K19" s="17">
        <v>0.1</v>
      </c>
    </row>
    <row r="20" spans="1:11" s="10" customFormat="1" x14ac:dyDescent="0.35">
      <c r="A20" s="10" t="s">
        <v>17</v>
      </c>
      <c r="B20" s="10" t="s">
        <v>47</v>
      </c>
      <c r="C20" s="10" t="s">
        <v>48</v>
      </c>
      <c r="D20" s="10" t="s">
        <v>226</v>
      </c>
      <c r="E20" s="10">
        <f>I20/F20</f>
        <v>230.875</v>
      </c>
      <c r="F20" s="10">
        <v>3688</v>
      </c>
      <c r="G20" s="10" t="s">
        <v>224</v>
      </c>
      <c r="H20" s="10">
        <v>1739.85</v>
      </c>
      <c r="I20" s="10" t="s">
        <v>227</v>
      </c>
      <c r="J20" s="6">
        <v>0.08</v>
      </c>
      <c r="K20" s="17">
        <v>0.1</v>
      </c>
    </row>
    <row r="21" spans="1:11" s="10" customFormat="1" x14ac:dyDescent="0.35">
      <c r="A21" s="10" t="s">
        <v>17</v>
      </c>
      <c r="B21" s="10" t="s">
        <v>47</v>
      </c>
      <c r="C21" s="10" t="s">
        <v>48</v>
      </c>
      <c r="D21" s="10" t="s">
        <v>247</v>
      </c>
      <c r="E21" s="10">
        <f>I21/F21</f>
        <v>227.06471367096987</v>
      </c>
      <c r="F21" s="10">
        <v>6042</v>
      </c>
      <c r="G21" s="10" t="s">
        <v>32</v>
      </c>
      <c r="H21" s="10">
        <v>2761.38</v>
      </c>
      <c r="I21" s="10" t="s">
        <v>248</v>
      </c>
      <c r="J21" s="6">
        <v>0.08</v>
      </c>
      <c r="K21" s="17">
        <v>0.1</v>
      </c>
    </row>
  </sheetData>
  <autoFilter ref="A1:I1" xr:uid="{82093F25-C8F6-48C8-802B-9D54763E3F5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9F1C-B8A5-49A8-B7DD-83D39D3613BF}">
  <dimension ref="A1:K10"/>
  <sheetViews>
    <sheetView workbookViewId="0">
      <selection activeCell="D22" sqref="D22"/>
    </sheetView>
  </sheetViews>
  <sheetFormatPr defaultRowHeight="14.5" x14ac:dyDescent="0.35"/>
  <cols>
    <col min="3" max="3" width="13.90625" bestFit="1" customWidth="1"/>
    <col min="6" max="6" width="21.26953125" bestFit="1" customWidth="1"/>
    <col min="7" max="7" width="36.26953125" bestFit="1" customWidth="1"/>
    <col min="8" max="8" width="12.08984375" hidden="1" customWidth="1"/>
    <col min="10" max="10" width="20.54296875" bestFit="1" customWidth="1"/>
    <col min="11" max="11" width="21.08984375" bestFit="1" customWidth="1"/>
  </cols>
  <sheetData>
    <row r="1" spans="1:11" s="10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286</v>
      </c>
      <c r="K1" s="1" t="s">
        <v>287</v>
      </c>
    </row>
    <row r="2" spans="1:11" s="10" customFormat="1" x14ac:dyDescent="0.35">
      <c r="A2" s="10" t="s">
        <v>15</v>
      </c>
      <c r="B2" s="10" t="s">
        <v>47</v>
      </c>
      <c r="C2" s="10" t="s">
        <v>48</v>
      </c>
      <c r="D2" s="10" t="s">
        <v>11</v>
      </c>
      <c r="E2" s="10" t="s">
        <v>61</v>
      </c>
      <c r="F2" s="10" t="s">
        <v>66</v>
      </c>
      <c r="G2" s="10" t="s">
        <v>62</v>
      </c>
      <c r="H2" s="10">
        <v>42.3</v>
      </c>
      <c r="I2" s="10" t="s">
        <v>67</v>
      </c>
      <c r="J2" s="6">
        <v>0.05</v>
      </c>
      <c r="K2" s="17">
        <v>7.0000000000000007E-2</v>
      </c>
    </row>
    <row r="3" spans="1:11" s="10" customFormat="1" x14ac:dyDescent="0.35">
      <c r="A3" s="10" t="s">
        <v>15</v>
      </c>
      <c r="B3" s="10" t="s">
        <v>47</v>
      </c>
      <c r="C3" s="10" t="s">
        <v>48</v>
      </c>
      <c r="D3" s="10" t="s">
        <v>11</v>
      </c>
      <c r="E3" s="10" t="s">
        <v>65</v>
      </c>
      <c r="F3" s="10" t="s">
        <v>101</v>
      </c>
      <c r="G3" s="10" t="s">
        <v>23</v>
      </c>
      <c r="H3" s="10">
        <v>6.41</v>
      </c>
      <c r="I3" s="10" t="s">
        <v>102</v>
      </c>
      <c r="J3" s="6">
        <v>0.05</v>
      </c>
      <c r="K3" s="17">
        <v>7.0000000000000007E-2</v>
      </c>
    </row>
    <row r="4" spans="1:11" s="10" customFormat="1" x14ac:dyDescent="0.35">
      <c r="A4" s="10" t="s">
        <v>15</v>
      </c>
      <c r="B4" s="10" t="s">
        <v>47</v>
      </c>
      <c r="C4" s="10" t="s">
        <v>48</v>
      </c>
      <c r="D4" s="10" t="s">
        <v>11</v>
      </c>
      <c r="E4" s="10" t="s">
        <v>120</v>
      </c>
      <c r="F4" s="10" t="s">
        <v>121</v>
      </c>
      <c r="G4" s="10" t="s">
        <v>122</v>
      </c>
      <c r="H4" s="10">
        <v>12.83</v>
      </c>
      <c r="I4" s="10" t="s">
        <v>123</v>
      </c>
      <c r="J4" s="6">
        <v>0.05</v>
      </c>
      <c r="K4" s="17">
        <v>7.0000000000000007E-2</v>
      </c>
    </row>
    <row r="5" spans="1:11" s="10" customFormat="1" x14ac:dyDescent="0.35">
      <c r="A5" s="10" t="s">
        <v>15</v>
      </c>
      <c r="B5" s="10" t="s">
        <v>47</v>
      </c>
      <c r="C5" s="10" t="s">
        <v>48</v>
      </c>
      <c r="D5" s="10" t="s">
        <v>11</v>
      </c>
      <c r="E5" s="10" t="s">
        <v>127</v>
      </c>
      <c r="F5" s="10" t="s">
        <v>128</v>
      </c>
      <c r="G5" s="10" t="s">
        <v>20</v>
      </c>
      <c r="H5" s="10">
        <v>19.14</v>
      </c>
      <c r="I5" s="10" t="s">
        <v>129</v>
      </c>
      <c r="J5" s="6">
        <v>0.05</v>
      </c>
      <c r="K5" s="17">
        <v>7.0000000000000007E-2</v>
      </c>
    </row>
    <row r="6" spans="1:11" s="10" customFormat="1" x14ac:dyDescent="0.35">
      <c r="A6" s="10" t="s">
        <v>15</v>
      </c>
      <c r="B6" s="10" t="s">
        <v>47</v>
      </c>
      <c r="C6" s="10" t="s">
        <v>48</v>
      </c>
      <c r="D6" s="10" t="s">
        <v>11</v>
      </c>
      <c r="E6" s="10" t="s">
        <v>164</v>
      </c>
      <c r="F6" s="10" t="s">
        <v>166</v>
      </c>
      <c r="G6" s="10" t="s">
        <v>165</v>
      </c>
      <c r="H6" s="10">
        <v>51.29</v>
      </c>
      <c r="I6" s="10" t="s">
        <v>167</v>
      </c>
      <c r="J6" s="6">
        <v>0.05</v>
      </c>
      <c r="K6" s="17">
        <v>7.0000000000000007E-2</v>
      </c>
    </row>
    <row r="7" spans="1:11" s="10" customFormat="1" x14ac:dyDescent="0.35">
      <c r="A7" s="10" t="s">
        <v>15</v>
      </c>
      <c r="B7" s="10" t="s">
        <v>47</v>
      </c>
      <c r="C7" s="10" t="s">
        <v>48</v>
      </c>
      <c r="D7" s="10" t="s">
        <v>11</v>
      </c>
      <c r="E7" s="10" t="s">
        <v>205</v>
      </c>
      <c r="F7" s="10" t="s">
        <v>207</v>
      </c>
      <c r="G7" s="10" t="s">
        <v>206</v>
      </c>
      <c r="H7" s="10">
        <v>153.87</v>
      </c>
      <c r="I7" s="10" t="s">
        <v>208</v>
      </c>
      <c r="J7" s="6">
        <v>0.05</v>
      </c>
      <c r="K7" s="17">
        <v>7.0000000000000007E-2</v>
      </c>
    </row>
    <row r="8" spans="1:11" s="10" customFormat="1" x14ac:dyDescent="0.35">
      <c r="A8" s="10" t="s">
        <v>15</v>
      </c>
      <c r="B8" s="10" t="s">
        <v>47</v>
      </c>
      <c r="C8" s="10" t="s">
        <v>48</v>
      </c>
      <c r="D8" s="10" t="s">
        <v>11</v>
      </c>
      <c r="E8" s="10" t="s">
        <v>222</v>
      </c>
      <c r="F8" s="10" t="s">
        <v>223</v>
      </c>
      <c r="G8" s="10" t="s">
        <v>224</v>
      </c>
      <c r="H8" s="10">
        <v>256.44</v>
      </c>
      <c r="I8" s="10" t="s">
        <v>225</v>
      </c>
      <c r="J8" s="6">
        <v>0.05</v>
      </c>
      <c r="K8" s="17">
        <v>7.0000000000000007E-2</v>
      </c>
    </row>
    <row r="9" spans="1:11" s="10" customFormat="1" x14ac:dyDescent="0.35">
      <c r="A9" s="10" t="s">
        <v>15</v>
      </c>
      <c r="B9" s="10" t="s">
        <v>47</v>
      </c>
      <c r="C9" s="10" t="s">
        <v>48</v>
      </c>
      <c r="D9" s="10" t="s">
        <v>11</v>
      </c>
      <c r="E9" s="10" t="s">
        <v>237</v>
      </c>
      <c r="F9" s="10" t="s">
        <v>238</v>
      </c>
      <c r="G9" s="10" t="s">
        <v>239</v>
      </c>
      <c r="H9" s="10">
        <v>384.67</v>
      </c>
      <c r="I9" s="10" t="s">
        <v>240</v>
      </c>
      <c r="J9" s="6">
        <v>0.05</v>
      </c>
      <c r="K9" s="17">
        <v>7.0000000000000007E-2</v>
      </c>
    </row>
    <row r="10" spans="1:11" s="10" customFormat="1" x14ac:dyDescent="0.35">
      <c r="A10" s="10" t="s">
        <v>15</v>
      </c>
      <c r="B10" s="10" t="s">
        <v>47</v>
      </c>
      <c r="C10" s="10" t="s">
        <v>48</v>
      </c>
      <c r="D10" s="10" t="s">
        <v>11</v>
      </c>
      <c r="E10" s="10" t="s">
        <v>256</v>
      </c>
      <c r="F10" s="10" t="s">
        <v>257</v>
      </c>
      <c r="G10" s="10" t="s">
        <v>258</v>
      </c>
      <c r="H10" s="10">
        <v>641.11</v>
      </c>
      <c r="I10" s="10" t="s">
        <v>259</v>
      </c>
      <c r="J10" s="6">
        <v>0.05</v>
      </c>
      <c r="K10" s="17">
        <v>7.0000000000000007E-2</v>
      </c>
    </row>
  </sheetData>
  <autoFilter ref="A1:I1" xr:uid="{267C9F1C-B8A5-49A8-B7DD-83D39D3613B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D08B-2870-4D1A-84F3-1F60CFE2E3D1}">
  <dimension ref="A1:N44"/>
  <sheetViews>
    <sheetView topLeftCell="B34" workbookViewId="0">
      <selection activeCell="H1" sqref="H1:I1048576"/>
    </sheetView>
  </sheetViews>
  <sheetFormatPr defaultRowHeight="14.5" x14ac:dyDescent="0.35"/>
  <cols>
    <col min="1" max="1" width="12.08984375" style="10" bestFit="1" customWidth="1"/>
    <col min="2" max="2" width="5.36328125" style="10" customWidth="1"/>
    <col min="3" max="3" width="18.26953125" style="10" bestFit="1" customWidth="1"/>
    <col min="4" max="4" width="11.54296875" style="10" bestFit="1" customWidth="1"/>
    <col min="5" max="5" width="18.08984375" style="10" bestFit="1" customWidth="1"/>
    <col min="6" max="6" width="16.7265625" style="10" bestFit="1" customWidth="1"/>
    <col min="7" max="7" width="17.453125" style="10" bestFit="1" customWidth="1"/>
    <col min="8" max="8" width="22.6328125" style="10" hidden="1" customWidth="1"/>
    <col min="9" max="9" width="12.7265625" style="10" hidden="1" customWidth="1"/>
    <col min="10" max="10" width="23.453125" style="10" bestFit="1" customWidth="1"/>
    <col min="11" max="11" width="10.6328125" style="10" hidden="1" customWidth="1"/>
    <col min="12" max="12" width="0" style="6" hidden="1" customWidth="1"/>
    <col min="13" max="13" width="12.1796875" style="12" customWidth="1"/>
    <col min="14" max="16384" width="8.7265625" style="10"/>
  </cols>
  <sheetData>
    <row r="1" spans="1:14" ht="58" x14ac:dyDescent="0.35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549</v>
      </c>
      <c r="I1" s="50" t="s">
        <v>1636</v>
      </c>
      <c r="J1" s="50" t="s">
        <v>550</v>
      </c>
      <c r="K1" s="50" t="s">
        <v>9</v>
      </c>
      <c r="L1" s="64" t="s">
        <v>1637</v>
      </c>
      <c r="M1" s="51" t="s">
        <v>547</v>
      </c>
      <c r="N1" s="51" t="s">
        <v>548</v>
      </c>
    </row>
    <row r="2" spans="1:14" x14ac:dyDescent="0.35">
      <c r="A2" s="52" t="s">
        <v>289</v>
      </c>
      <c r="B2" s="52" t="s">
        <v>1638</v>
      </c>
      <c r="C2" s="52" t="s">
        <v>1639</v>
      </c>
      <c r="D2" s="52" t="s">
        <v>11</v>
      </c>
      <c r="E2" s="52" t="s">
        <v>1640</v>
      </c>
      <c r="F2" s="52" t="s">
        <v>1641</v>
      </c>
      <c r="G2" s="52" t="s">
        <v>1642</v>
      </c>
      <c r="H2" s="52">
        <v>18000</v>
      </c>
      <c r="I2" s="52"/>
      <c r="J2" s="52" t="s">
        <v>1643</v>
      </c>
      <c r="K2" s="52" t="s">
        <v>12</v>
      </c>
      <c r="L2" s="6">
        <f>(H2-J2)/J2</f>
        <v>8.998425578297202E-2</v>
      </c>
      <c r="M2" s="54">
        <v>0.09</v>
      </c>
      <c r="N2" s="6">
        <f>M2+2%</f>
        <v>0.11</v>
      </c>
    </row>
    <row r="3" spans="1:14" x14ac:dyDescent="0.35">
      <c r="A3" s="10" t="s">
        <v>289</v>
      </c>
      <c r="B3" s="10" t="s">
        <v>1638</v>
      </c>
      <c r="C3" s="10" t="s">
        <v>1639</v>
      </c>
      <c r="D3" s="10" t="s">
        <v>11</v>
      </c>
      <c r="E3" s="10" t="s">
        <v>1644</v>
      </c>
      <c r="F3" s="10" t="s">
        <v>1645</v>
      </c>
      <c r="G3" s="10" t="s">
        <v>1646</v>
      </c>
      <c r="H3" s="10">
        <v>55300</v>
      </c>
      <c r="J3" s="10" t="s">
        <v>1647</v>
      </c>
      <c r="K3" s="10" t="s">
        <v>12</v>
      </c>
      <c r="L3" s="6">
        <v>0.09</v>
      </c>
      <c r="M3" s="54">
        <v>0.09</v>
      </c>
      <c r="N3" s="6">
        <f t="shared" ref="N3:N44" si="0">M3+2%</f>
        <v>0.11</v>
      </c>
    </row>
    <row r="4" spans="1:14" x14ac:dyDescent="0.35">
      <c r="A4" s="10" t="s">
        <v>289</v>
      </c>
      <c r="B4" s="10" t="s">
        <v>1638</v>
      </c>
      <c r="C4" s="10" t="s">
        <v>1639</v>
      </c>
      <c r="D4" s="10" t="s">
        <v>11</v>
      </c>
      <c r="E4" s="10" t="s">
        <v>1648</v>
      </c>
      <c r="F4" s="10" t="s">
        <v>1649</v>
      </c>
      <c r="G4" s="10" t="s">
        <v>1650</v>
      </c>
      <c r="H4" s="10">
        <v>3500</v>
      </c>
      <c r="J4" s="10" t="s">
        <v>1651</v>
      </c>
      <c r="K4" s="10" t="s">
        <v>12</v>
      </c>
      <c r="L4" s="6">
        <f>(H4-J4)/J4</f>
        <v>0.15894039735099338</v>
      </c>
      <c r="M4" s="54">
        <v>0.155</v>
      </c>
      <c r="N4" s="6">
        <f t="shared" si="0"/>
        <v>0.17499999999999999</v>
      </c>
    </row>
    <row r="5" spans="1:14" x14ac:dyDescent="0.35">
      <c r="A5" s="52" t="s">
        <v>14</v>
      </c>
      <c r="B5" s="52" t="s">
        <v>1638</v>
      </c>
      <c r="C5" s="52" t="s">
        <v>1639</v>
      </c>
      <c r="D5" s="52" t="s">
        <v>11</v>
      </c>
      <c r="E5" s="52" t="s">
        <v>1648</v>
      </c>
      <c r="F5" s="52" t="s">
        <v>1652</v>
      </c>
      <c r="G5" s="52" t="s">
        <v>1650</v>
      </c>
      <c r="H5" s="10">
        <v>3500</v>
      </c>
      <c r="I5" s="52"/>
      <c r="J5" s="52" t="s">
        <v>1651</v>
      </c>
      <c r="K5" s="52" t="s">
        <v>12</v>
      </c>
      <c r="L5" s="6">
        <f t="shared" ref="L5:L46" si="1">(H5-J5)/J5</f>
        <v>0.15894039735099338</v>
      </c>
      <c r="M5" s="54">
        <v>0.155</v>
      </c>
      <c r="N5" s="6">
        <f t="shared" si="0"/>
        <v>0.17499999999999999</v>
      </c>
    </row>
    <row r="6" spans="1:14" x14ac:dyDescent="0.35">
      <c r="A6" s="10" t="s">
        <v>17</v>
      </c>
      <c r="B6" s="10" t="s">
        <v>1638</v>
      </c>
      <c r="C6" s="10" t="s">
        <v>1639</v>
      </c>
      <c r="D6" s="10" t="s">
        <v>11</v>
      </c>
      <c r="E6" s="10" t="s">
        <v>1648</v>
      </c>
      <c r="F6" s="10" t="s">
        <v>1653</v>
      </c>
      <c r="G6" s="10" t="s">
        <v>1650</v>
      </c>
      <c r="H6" s="10">
        <v>3500</v>
      </c>
      <c r="J6" s="10" t="s">
        <v>1651</v>
      </c>
      <c r="K6" s="10" t="s">
        <v>12</v>
      </c>
      <c r="L6" s="6">
        <f t="shared" si="1"/>
        <v>0.15894039735099338</v>
      </c>
      <c r="M6" s="54">
        <v>0.155</v>
      </c>
      <c r="N6" s="6">
        <f t="shared" si="0"/>
        <v>0.17499999999999999</v>
      </c>
    </row>
    <row r="7" spans="1:14" x14ac:dyDescent="0.35">
      <c r="A7" s="52" t="s">
        <v>16</v>
      </c>
      <c r="B7" s="52" t="s">
        <v>1638</v>
      </c>
      <c r="C7" s="52" t="s">
        <v>1639</v>
      </c>
      <c r="D7" s="52" t="s">
        <v>11</v>
      </c>
      <c r="E7" s="52" t="s">
        <v>1648</v>
      </c>
      <c r="F7" s="52" t="s">
        <v>1654</v>
      </c>
      <c r="G7" s="52" t="s">
        <v>1650</v>
      </c>
      <c r="H7" s="10">
        <v>3500</v>
      </c>
      <c r="I7" s="52"/>
      <c r="J7" s="52" t="s">
        <v>1651</v>
      </c>
      <c r="K7" s="52" t="s">
        <v>12</v>
      </c>
      <c r="L7" s="6">
        <f t="shared" si="1"/>
        <v>0.15894039735099338</v>
      </c>
      <c r="M7" s="54">
        <v>0.155</v>
      </c>
      <c r="N7" s="6">
        <f t="shared" si="0"/>
        <v>0.17499999999999999</v>
      </c>
    </row>
    <row r="8" spans="1:14" x14ac:dyDescent="0.35">
      <c r="A8" s="10" t="s">
        <v>18</v>
      </c>
      <c r="B8" s="10" t="s">
        <v>1638</v>
      </c>
      <c r="C8" s="10" t="s">
        <v>1639</v>
      </c>
      <c r="D8" s="10" t="s">
        <v>11</v>
      </c>
      <c r="E8" s="10" t="s">
        <v>1648</v>
      </c>
      <c r="F8" s="10" t="s">
        <v>1655</v>
      </c>
      <c r="G8" s="10" t="s">
        <v>1650</v>
      </c>
      <c r="H8" s="10">
        <v>3500</v>
      </c>
      <c r="J8" s="10" t="s">
        <v>1651</v>
      </c>
      <c r="K8" s="10" t="s">
        <v>12</v>
      </c>
      <c r="L8" s="6">
        <f t="shared" si="1"/>
        <v>0.15894039735099338</v>
      </c>
      <c r="M8" s="54">
        <v>0.155</v>
      </c>
      <c r="N8" s="6">
        <f t="shared" si="0"/>
        <v>0.17499999999999999</v>
      </c>
    </row>
    <row r="9" spans="1:14" x14ac:dyDescent="0.35">
      <c r="A9" s="52" t="s">
        <v>289</v>
      </c>
      <c r="B9" s="52" t="s">
        <v>1638</v>
      </c>
      <c r="C9" s="52" t="s">
        <v>1639</v>
      </c>
      <c r="D9" s="52" t="s">
        <v>11</v>
      </c>
      <c r="E9" s="52" t="s">
        <v>1656</v>
      </c>
      <c r="F9" s="52" t="s">
        <v>1657</v>
      </c>
      <c r="G9" s="52" t="s">
        <v>1658</v>
      </c>
      <c r="H9" s="52">
        <v>16000</v>
      </c>
      <c r="I9" s="52"/>
      <c r="J9" s="52" t="s">
        <v>1659</v>
      </c>
      <c r="K9" s="52" t="s">
        <v>12</v>
      </c>
      <c r="L9" s="6">
        <f t="shared" si="1"/>
        <v>6.9089937190966191E-2</v>
      </c>
      <c r="M9" s="54">
        <v>7.0000000000000007E-2</v>
      </c>
      <c r="N9" s="6">
        <f t="shared" si="0"/>
        <v>9.0000000000000011E-2</v>
      </c>
    </row>
    <row r="10" spans="1:14" x14ac:dyDescent="0.35">
      <c r="A10" s="10" t="s">
        <v>14</v>
      </c>
      <c r="B10" s="10" t="s">
        <v>1638</v>
      </c>
      <c r="C10" s="10" t="s">
        <v>1639</v>
      </c>
      <c r="D10" s="10" t="s">
        <v>11</v>
      </c>
      <c r="E10" s="10" t="s">
        <v>1656</v>
      </c>
      <c r="F10" s="10" t="s">
        <v>1660</v>
      </c>
      <c r="G10" s="10" t="s">
        <v>1658</v>
      </c>
      <c r="H10" s="52">
        <v>16000</v>
      </c>
      <c r="J10" s="10" t="s">
        <v>1659</v>
      </c>
      <c r="K10" s="10" t="s">
        <v>12</v>
      </c>
      <c r="L10" s="6">
        <f t="shared" si="1"/>
        <v>6.9089937190966191E-2</v>
      </c>
      <c r="M10" s="54">
        <v>7.0000000000000007E-2</v>
      </c>
      <c r="N10" s="6">
        <f t="shared" si="0"/>
        <v>9.0000000000000011E-2</v>
      </c>
    </row>
    <row r="11" spans="1:14" x14ac:dyDescent="0.35">
      <c r="A11" s="52" t="s">
        <v>17</v>
      </c>
      <c r="B11" s="52" t="s">
        <v>1638</v>
      </c>
      <c r="C11" s="52" t="s">
        <v>1639</v>
      </c>
      <c r="D11" s="52" t="s">
        <v>11</v>
      </c>
      <c r="E11" s="52" t="s">
        <v>1656</v>
      </c>
      <c r="F11" s="52" t="s">
        <v>1661</v>
      </c>
      <c r="G11" s="52" t="s">
        <v>1658</v>
      </c>
      <c r="H11" s="52">
        <v>16000</v>
      </c>
      <c r="I11" s="52"/>
      <c r="J11" s="52" t="s">
        <v>1659</v>
      </c>
      <c r="K11" s="52" t="s">
        <v>12</v>
      </c>
      <c r="L11" s="6">
        <f t="shared" si="1"/>
        <v>6.9089937190966191E-2</v>
      </c>
      <c r="M11" s="54">
        <v>7.0000000000000007E-2</v>
      </c>
      <c r="N11" s="6">
        <f t="shared" si="0"/>
        <v>9.0000000000000011E-2</v>
      </c>
    </row>
    <row r="12" spans="1:14" x14ac:dyDescent="0.35">
      <c r="A12" s="10" t="s">
        <v>16</v>
      </c>
      <c r="B12" s="10" t="s">
        <v>1638</v>
      </c>
      <c r="C12" s="10" t="s">
        <v>1639</v>
      </c>
      <c r="D12" s="10" t="s">
        <v>11</v>
      </c>
      <c r="E12" s="10" t="s">
        <v>1656</v>
      </c>
      <c r="F12" s="10" t="s">
        <v>1662</v>
      </c>
      <c r="G12" s="10" t="s">
        <v>1658</v>
      </c>
      <c r="H12" s="52">
        <v>16000</v>
      </c>
      <c r="J12" s="10" t="s">
        <v>1659</v>
      </c>
      <c r="K12" s="10" t="s">
        <v>12</v>
      </c>
      <c r="L12" s="6">
        <f t="shared" si="1"/>
        <v>6.9089937190966191E-2</v>
      </c>
      <c r="M12" s="54">
        <v>7.0000000000000007E-2</v>
      </c>
      <c r="N12" s="6">
        <f t="shared" si="0"/>
        <v>9.0000000000000011E-2</v>
      </c>
    </row>
    <row r="13" spans="1:14" x14ac:dyDescent="0.35">
      <c r="A13" s="10" t="s">
        <v>289</v>
      </c>
      <c r="B13" s="10" t="s">
        <v>1638</v>
      </c>
      <c r="C13" s="10" t="s">
        <v>1639</v>
      </c>
      <c r="D13" s="10" t="s">
        <v>11</v>
      </c>
      <c r="E13" s="10" t="s">
        <v>1663</v>
      </c>
      <c r="F13" s="10" t="s">
        <v>1664</v>
      </c>
      <c r="G13" s="10" t="s">
        <v>1665</v>
      </c>
      <c r="H13" s="10">
        <v>48500</v>
      </c>
      <c r="J13" s="10" t="s">
        <v>1666</v>
      </c>
      <c r="K13" s="10" t="s">
        <v>12</v>
      </c>
      <c r="L13" s="6">
        <f t="shared" si="1"/>
        <v>7.4078175174399297E-2</v>
      </c>
      <c r="M13" s="54">
        <v>7.4999999999999997E-2</v>
      </c>
      <c r="N13" s="6">
        <f t="shared" si="0"/>
        <v>9.5000000000000001E-2</v>
      </c>
    </row>
    <row r="14" spans="1:14" x14ac:dyDescent="0.35">
      <c r="A14" s="52" t="s">
        <v>14</v>
      </c>
      <c r="B14" s="52" t="s">
        <v>1638</v>
      </c>
      <c r="C14" s="52" t="s">
        <v>1639</v>
      </c>
      <c r="D14" s="52" t="s">
        <v>11</v>
      </c>
      <c r="E14" s="52" t="s">
        <v>1663</v>
      </c>
      <c r="F14" s="52" t="s">
        <v>1667</v>
      </c>
      <c r="G14" s="52" t="s">
        <v>1665</v>
      </c>
      <c r="H14" s="10">
        <v>48500</v>
      </c>
      <c r="I14" s="52"/>
      <c r="J14" s="52" t="s">
        <v>1666</v>
      </c>
      <c r="K14" s="52" t="s">
        <v>12</v>
      </c>
      <c r="L14" s="6">
        <f t="shared" si="1"/>
        <v>7.4078175174399297E-2</v>
      </c>
      <c r="M14" s="54">
        <v>7.4999999999999997E-2</v>
      </c>
      <c r="N14" s="6">
        <f t="shared" si="0"/>
        <v>9.5000000000000001E-2</v>
      </c>
    </row>
    <row r="15" spans="1:14" x14ac:dyDescent="0.35">
      <c r="A15" s="10" t="s">
        <v>17</v>
      </c>
      <c r="B15" s="10" t="s">
        <v>1638</v>
      </c>
      <c r="C15" s="10" t="s">
        <v>1639</v>
      </c>
      <c r="D15" s="10" t="s">
        <v>11</v>
      </c>
      <c r="E15" s="10" t="s">
        <v>1663</v>
      </c>
      <c r="F15" s="10" t="s">
        <v>1668</v>
      </c>
      <c r="G15" s="10" t="s">
        <v>1665</v>
      </c>
      <c r="H15" s="10">
        <v>48500</v>
      </c>
      <c r="J15" s="10" t="s">
        <v>1666</v>
      </c>
      <c r="K15" s="10" t="s">
        <v>12</v>
      </c>
      <c r="L15" s="6">
        <f t="shared" si="1"/>
        <v>7.4078175174399297E-2</v>
      </c>
      <c r="M15" s="54">
        <v>7.4999999999999997E-2</v>
      </c>
      <c r="N15" s="6">
        <f t="shared" si="0"/>
        <v>9.5000000000000001E-2</v>
      </c>
    </row>
    <row r="16" spans="1:14" x14ac:dyDescent="0.35">
      <c r="A16" s="52" t="s">
        <v>16</v>
      </c>
      <c r="B16" s="52" t="s">
        <v>1638</v>
      </c>
      <c r="C16" s="52" t="s">
        <v>1639</v>
      </c>
      <c r="D16" s="52" t="s">
        <v>11</v>
      </c>
      <c r="E16" s="52" t="s">
        <v>1663</v>
      </c>
      <c r="F16" s="52" t="s">
        <v>1669</v>
      </c>
      <c r="G16" s="52" t="s">
        <v>1665</v>
      </c>
      <c r="H16" s="10">
        <v>48500</v>
      </c>
      <c r="I16" s="52"/>
      <c r="J16" s="52" t="s">
        <v>1666</v>
      </c>
      <c r="K16" s="52" t="s">
        <v>12</v>
      </c>
      <c r="L16" s="6">
        <f t="shared" si="1"/>
        <v>7.4078175174399297E-2</v>
      </c>
      <c r="M16" s="54">
        <v>7.4999999999999997E-2</v>
      </c>
      <c r="N16" s="6">
        <f t="shared" si="0"/>
        <v>9.5000000000000001E-2</v>
      </c>
    </row>
    <row r="17" spans="1:14" x14ac:dyDescent="0.35">
      <c r="A17" s="10" t="s">
        <v>18</v>
      </c>
      <c r="B17" s="10" t="s">
        <v>1638</v>
      </c>
      <c r="C17" s="10" t="s">
        <v>1639</v>
      </c>
      <c r="D17" s="10" t="s">
        <v>11</v>
      </c>
      <c r="E17" s="10" t="s">
        <v>1663</v>
      </c>
      <c r="F17" s="10" t="s">
        <v>1670</v>
      </c>
      <c r="G17" s="10" t="s">
        <v>1665</v>
      </c>
      <c r="H17" s="10">
        <v>48500</v>
      </c>
      <c r="J17" s="10" t="s">
        <v>1666</v>
      </c>
      <c r="K17" s="10" t="s">
        <v>12</v>
      </c>
      <c r="L17" s="6">
        <f t="shared" si="1"/>
        <v>7.4078175174399297E-2</v>
      </c>
      <c r="M17" s="54">
        <v>7.4999999999999997E-2</v>
      </c>
      <c r="N17" s="6">
        <f t="shared" si="0"/>
        <v>9.5000000000000001E-2</v>
      </c>
    </row>
    <row r="18" spans="1:14" x14ac:dyDescent="0.35">
      <c r="A18" s="52" t="s">
        <v>551</v>
      </c>
      <c r="B18" s="52" t="s">
        <v>1638</v>
      </c>
      <c r="C18" s="52" t="s">
        <v>1639</v>
      </c>
      <c r="D18" s="52" t="s">
        <v>11</v>
      </c>
      <c r="E18" s="52" t="s">
        <v>1663</v>
      </c>
      <c r="F18" s="52" t="s">
        <v>1671</v>
      </c>
      <c r="G18" s="52" t="s">
        <v>1665</v>
      </c>
      <c r="H18" s="10">
        <v>48500</v>
      </c>
      <c r="I18" s="52"/>
      <c r="J18" s="52" t="s">
        <v>1666</v>
      </c>
      <c r="K18" s="52" t="s">
        <v>12</v>
      </c>
      <c r="L18" s="6">
        <f t="shared" si="1"/>
        <v>7.4078175174399297E-2</v>
      </c>
      <c r="M18" s="54">
        <v>7.4999999999999997E-2</v>
      </c>
      <c r="N18" s="6">
        <f t="shared" si="0"/>
        <v>9.5000000000000001E-2</v>
      </c>
    </row>
    <row r="19" spans="1:14" x14ac:dyDescent="0.35">
      <c r="A19" s="10" t="s">
        <v>15</v>
      </c>
      <c r="B19" s="10" t="s">
        <v>1638</v>
      </c>
      <c r="C19" s="10" t="s">
        <v>1639</v>
      </c>
      <c r="D19" s="10" t="s">
        <v>11</v>
      </c>
      <c r="E19" s="10" t="s">
        <v>1663</v>
      </c>
      <c r="F19" s="10" t="s">
        <v>1672</v>
      </c>
      <c r="G19" s="10" t="s">
        <v>1665</v>
      </c>
      <c r="H19" s="10">
        <v>48500</v>
      </c>
      <c r="J19" s="10" t="s">
        <v>1666</v>
      </c>
      <c r="K19" s="10" t="s">
        <v>12</v>
      </c>
      <c r="L19" s="6">
        <f t="shared" si="1"/>
        <v>7.4078175174399297E-2</v>
      </c>
      <c r="M19" s="54">
        <v>7.4999999999999997E-2</v>
      </c>
      <c r="N19" s="6">
        <f t="shared" si="0"/>
        <v>9.5000000000000001E-2</v>
      </c>
    </row>
    <row r="20" spans="1:14" x14ac:dyDescent="0.35">
      <c r="A20" s="52" t="s">
        <v>289</v>
      </c>
      <c r="B20" s="52" t="s">
        <v>1638</v>
      </c>
      <c r="C20" s="52" t="s">
        <v>1639</v>
      </c>
      <c r="D20" s="52" t="s">
        <v>11</v>
      </c>
      <c r="E20" s="52" t="s">
        <v>1673</v>
      </c>
      <c r="F20" s="52" t="s">
        <v>1674</v>
      </c>
      <c r="G20" s="52" t="s">
        <v>1675</v>
      </c>
      <c r="H20" s="52">
        <v>80500</v>
      </c>
      <c r="I20" s="52"/>
      <c r="J20" s="52" t="s">
        <v>1676</v>
      </c>
      <c r="K20" s="52" t="s">
        <v>12</v>
      </c>
      <c r="L20" s="6">
        <f t="shared" si="1"/>
        <v>6.7426904461977064E-2</v>
      </c>
      <c r="M20" s="54">
        <v>6.7500000000000004E-2</v>
      </c>
      <c r="N20" s="6">
        <f t="shared" si="0"/>
        <v>8.7500000000000008E-2</v>
      </c>
    </row>
    <row r="21" spans="1:14" x14ac:dyDescent="0.35">
      <c r="A21" s="10" t="s">
        <v>14</v>
      </c>
      <c r="B21" s="10" t="s">
        <v>1638</v>
      </c>
      <c r="C21" s="10" t="s">
        <v>1639</v>
      </c>
      <c r="D21" s="10" t="s">
        <v>11</v>
      </c>
      <c r="E21" s="10" t="s">
        <v>1673</v>
      </c>
      <c r="F21" s="10" t="s">
        <v>1677</v>
      </c>
      <c r="G21" s="10" t="s">
        <v>1675</v>
      </c>
      <c r="H21" s="52">
        <v>80500</v>
      </c>
      <c r="J21" s="10" t="s">
        <v>1676</v>
      </c>
      <c r="K21" s="10" t="s">
        <v>12</v>
      </c>
      <c r="L21" s="6">
        <f t="shared" si="1"/>
        <v>6.7426904461977064E-2</v>
      </c>
      <c r="M21" s="54">
        <v>6.7500000000000004E-2</v>
      </c>
      <c r="N21" s="6">
        <f t="shared" si="0"/>
        <v>8.7500000000000008E-2</v>
      </c>
    </row>
    <row r="22" spans="1:14" x14ac:dyDescent="0.35">
      <c r="A22" s="52" t="s">
        <v>17</v>
      </c>
      <c r="B22" s="52" t="s">
        <v>1638</v>
      </c>
      <c r="C22" s="52" t="s">
        <v>1639</v>
      </c>
      <c r="D22" s="52" t="s">
        <v>11</v>
      </c>
      <c r="E22" s="52" t="s">
        <v>1673</v>
      </c>
      <c r="F22" s="52" t="s">
        <v>1678</v>
      </c>
      <c r="G22" s="52" t="s">
        <v>1675</v>
      </c>
      <c r="H22" s="52">
        <v>80500</v>
      </c>
      <c r="I22" s="52"/>
      <c r="J22" s="52" t="s">
        <v>1676</v>
      </c>
      <c r="K22" s="52" t="s">
        <v>12</v>
      </c>
      <c r="L22" s="6">
        <f t="shared" si="1"/>
        <v>6.7426904461977064E-2</v>
      </c>
      <c r="M22" s="54">
        <v>6.7500000000000004E-2</v>
      </c>
      <c r="N22" s="6">
        <f t="shared" si="0"/>
        <v>8.7500000000000008E-2</v>
      </c>
    </row>
    <row r="23" spans="1:14" x14ac:dyDescent="0.35">
      <c r="A23" s="10" t="s">
        <v>16</v>
      </c>
      <c r="B23" s="10" t="s">
        <v>1638</v>
      </c>
      <c r="C23" s="10" t="s">
        <v>1639</v>
      </c>
      <c r="D23" s="10" t="s">
        <v>11</v>
      </c>
      <c r="E23" s="10" t="s">
        <v>1673</v>
      </c>
      <c r="F23" s="10" t="s">
        <v>1679</v>
      </c>
      <c r="G23" s="10" t="s">
        <v>1675</v>
      </c>
      <c r="H23" s="52">
        <v>80500</v>
      </c>
      <c r="J23" s="10" t="s">
        <v>1676</v>
      </c>
      <c r="K23" s="10" t="s">
        <v>12</v>
      </c>
      <c r="L23" s="6">
        <f t="shared" si="1"/>
        <v>6.7426904461977064E-2</v>
      </c>
      <c r="M23" s="54">
        <v>6.7500000000000004E-2</v>
      </c>
      <c r="N23" s="6">
        <f t="shared" si="0"/>
        <v>8.7500000000000008E-2</v>
      </c>
    </row>
    <row r="24" spans="1:14" x14ac:dyDescent="0.35">
      <c r="A24" s="52" t="s">
        <v>289</v>
      </c>
      <c r="B24" s="52" t="s">
        <v>1638</v>
      </c>
      <c r="C24" s="52" t="s">
        <v>1639</v>
      </c>
      <c r="D24" s="52" t="s">
        <v>11</v>
      </c>
      <c r="E24" s="52" t="s">
        <v>1680</v>
      </c>
      <c r="F24" s="52" t="s">
        <v>1681</v>
      </c>
      <c r="G24" s="52" t="s">
        <v>1682</v>
      </c>
      <c r="H24" s="52">
        <v>115000</v>
      </c>
      <c r="I24" s="52"/>
      <c r="J24" s="52" t="s">
        <v>1683</v>
      </c>
      <c r="K24" s="52" t="s">
        <v>12</v>
      </c>
      <c r="L24" s="6">
        <f t="shared" si="1"/>
        <v>8.9458775827278153E-2</v>
      </c>
      <c r="M24" s="54">
        <v>0.09</v>
      </c>
      <c r="N24" s="6">
        <f t="shared" si="0"/>
        <v>0.11</v>
      </c>
    </row>
    <row r="25" spans="1:14" x14ac:dyDescent="0.35">
      <c r="A25" s="10" t="s">
        <v>14</v>
      </c>
      <c r="B25" s="10" t="s">
        <v>1638</v>
      </c>
      <c r="C25" s="10" t="s">
        <v>1639</v>
      </c>
      <c r="D25" s="10" t="s">
        <v>11</v>
      </c>
      <c r="E25" s="10" t="s">
        <v>1680</v>
      </c>
      <c r="F25" s="10" t="s">
        <v>1684</v>
      </c>
      <c r="G25" s="10" t="s">
        <v>1682</v>
      </c>
      <c r="H25" s="52">
        <v>115000</v>
      </c>
      <c r="J25" s="10" t="s">
        <v>1683</v>
      </c>
      <c r="K25" s="10" t="s">
        <v>12</v>
      </c>
      <c r="L25" s="6">
        <f t="shared" si="1"/>
        <v>8.9458775827278153E-2</v>
      </c>
      <c r="M25" s="54">
        <v>0.09</v>
      </c>
      <c r="N25" s="6">
        <f t="shared" si="0"/>
        <v>0.11</v>
      </c>
    </row>
    <row r="26" spans="1:14" x14ac:dyDescent="0.35">
      <c r="A26" s="52" t="s">
        <v>17</v>
      </c>
      <c r="B26" s="52" t="s">
        <v>1638</v>
      </c>
      <c r="C26" s="52" t="s">
        <v>1639</v>
      </c>
      <c r="D26" s="52" t="s">
        <v>11</v>
      </c>
      <c r="E26" s="52" t="s">
        <v>1680</v>
      </c>
      <c r="F26" s="52" t="s">
        <v>1685</v>
      </c>
      <c r="G26" s="52" t="s">
        <v>1682</v>
      </c>
      <c r="H26" s="52">
        <v>115000</v>
      </c>
      <c r="I26" s="52"/>
      <c r="J26" s="52" t="s">
        <v>1683</v>
      </c>
      <c r="K26" s="52" t="s">
        <v>12</v>
      </c>
      <c r="L26" s="6">
        <f t="shared" si="1"/>
        <v>8.9458775827278153E-2</v>
      </c>
      <c r="M26" s="54">
        <v>0.09</v>
      </c>
      <c r="N26" s="6">
        <f t="shared" si="0"/>
        <v>0.11</v>
      </c>
    </row>
    <row r="27" spans="1:14" x14ac:dyDescent="0.35">
      <c r="A27" s="10" t="s">
        <v>16</v>
      </c>
      <c r="B27" s="10" t="s">
        <v>1638</v>
      </c>
      <c r="C27" s="10" t="s">
        <v>1639</v>
      </c>
      <c r="D27" s="10" t="s">
        <v>11</v>
      </c>
      <c r="E27" s="10" t="s">
        <v>1680</v>
      </c>
      <c r="F27" s="10" t="s">
        <v>1686</v>
      </c>
      <c r="G27" s="10" t="s">
        <v>1682</v>
      </c>
      <c r="H27" s="52">
        <v>115000</v>
      </c>
      <c r="J27" s="10" t="s">
        <v>1683</v>
      </c>
      <c r="K27" s="10" t="s">
        <v>12</v>
      </c>
      <c r="L27" s="6">
        <f t="shared" si="1"/>
        <v>8.9458775827278153E-2</v>
      </c>
      <c r="M27" s="54">
        <v>0.09</v>
      </c>
      <c r="N27" s="6">
        <f t="shared" si="0"/>
        <v>0.11</v>
      </c>
    </row>
    <row r="28" spans="1:14" x14ac:dyDescent="0.35">
      <c r="A28" s="52" t="s">
        <v>18</v>
      </c>
      <c r="B28" s="52" t="s">
        <v>1638</v>
      </c>
      <c r="C28" s="52" t="s">
        <v>1639</v>
      </c>
      <c r="D28" s="52" t="s">
        <v>11</v>
      </c>
      <c r="E28" s="52" t="s">
        <v>1680</v>
      </c>
      <c r="F28" s="52" t="s">
        <v>1687</v>
      </c>
      <c r="G28" s="52" t="s">
        <v>1682</v>
      </c>
      <c r="H28" s="52">
        <v>115000</v>
      </c>
      <c r="I28" s="52"/>
      <c r="J28" s="52" t="s">
        <v>1683</v>
      </c>
      <c r="K28" s="52" t="s">
        <v>12</v>
      </c>
      <c r="L28" s="6">
        <f t="shared" si="1"/>
        <v>8.9458775827278153E-2</v>
      </c>
      <c r="M28" s="54">
        <v>0.09</v>
      </c>
      <c r="N28" s="6">
        <f t="shared" si="0"/>
        <v>0.11</v>
      </c>
    </row>
    <row r="29" spans="1:14" x14ac:dyDescent="0.35">
      <c r="A29" s="10" t="s">
        <v>551</v>
      </c>
      <c r="B29" s="10" t="s">
        <v>1638</v>
      </c>
      <c r="C29" s="10" t="s">
        <v>1639</v>
      </c>
      <c r="D29" s="10" t="s">
        <v>11</v>
      </c>
      <c r="E29" s="10" t="s">
        <v>1680</v>
      </c>
      <c r="F29" s="10" t="s">
        <v>1688</v>
      </c>
      <c r="G29" s="10" t="s">
        <v>1682</v>
      </c>
      <c r="H29" s="52">
        <v>115000</v>
      </c>
      <c r="J29" s="10" t="s">
        <v>1683</v>
      </c>
      <c r="K29" s="10" t="s">
        <v>12</v>
      </c>
      <c r="L29" s="6">
        <f t="shared" si="1"/>
        <v>8.9458775827278153E-2</v>
      </c>
      <c r="M29" s="54">
        <v>0.09</v>
      </c>
      <c r="N29" s="6">
        <f t="shared" si="0"/>
        <v>0.11</v>
      </c>
    </row>
    <row r="30" spans="1:14" x14ac:dyDescent="0.35">
      <c r="A30" s="52" t="s">
        <v>15</v>
      </c>
      <c r="B30" s="52" t="s">
        <v>1638</v>
      </c>
      <c r="C30" s="52" t="s">
        <v>1639</v>
      </c>
      <c r="D30" s="52" t="s">
        <v>11</v>
      </c>
      <c r="E30" s="52" t="s">
        <v>1680</v>
      </c>
      <c r="F30" s="52" t="s">
        <v>1689</v>
      </c>
      <c r="G30" s="52" t="s">
        <v>1682</v>
      </c>
      <c r="H30" s="52">
        <v>115000</v>
      </c>
      <c r="I30" s="52"/>
      <c r="J30" s="52" t="s">
        <v>1683</v>
      </c>
      <c r="K30" s="52" t="s">
        <v>12</v>
      </c>
      <c r="L30" s="6">
        <f t="shared" si="1"/>
        <v>8.9458775827278153E-2</v>
      </c>
      <c r="M30" s="54">
        <v>0.09</v>
      </c>
      <c r="N30" s="6">
        <f t="shared" si="0"/>
        <v>0.11</v>
      </c>
    </row>
    <row r="31" spans="1:14" x14ac:dyDescent="0.35">
      <c r="A31" s="10" t="s">
        <v>1690</v>
      </c>
      <c r="B31" s="10" t="s">
        <v>1638</v>
      </c>
      <c r="C31" s="10" t="s">
        <v>1639</v>
      </c>
      <c r="D31" s="10" t="s">
        <v>11</v>
      </c>
      <c r="E31" s="10" t="s">
        <v>1680</v>
      </c>
      <c r="F31" s="10" t="s">
        <v>1691</v>
      </c>
      <c r="G31" s="10" t="s">
        <v>1682</v>
      </c>
      <c r="H31" s="52">
        <v>115000</v>
      </c>
      <c r="J31" s="10" t="s">
        <v>1683</v>
      </c>
      <c r="K31" s="10" t="s">
        <v>12</v>
      </c>
      <c r="L31" s="6">
        <f t="shared" si="1"/>
        <v>8.9458775827278153E-2</v>
      </c>
      <c r="M31" s="54">
        <v>0.09</v>
      </c>
      <c r="N31" s="6">
        <f t="shared" si="0"/>
        <v>0.11</v>
      </c>
    </row>
    <row r="32" spans="1:14" x14ac:dyDescent="0.35">
      <c r="A32" s="52" t="s">
        <v>289</v>
      </c>
      <c r="B32" s="52" t="s">
        <v>1638</v>
      </c>
      <c r="C32" s="52" t="s">
        <v>1639</v>
      </c>
      <c r="D32" s="52" t="s">
        <v>11</v>
      </c>
      <c r="E32" s="52" t="s">
        <v>1692</v>
      </c>
      <c r="F32" s="52" t="s">
        <v>1693</v>
      </c>
      <c r="G32" s="52" t="s">
        <v>1694</v>
      </c>
      <c r="H32" s="52">
        <v>162000</v>
      </c>
      <c r="I32" s="52"/>
      <c r="J32" s="52" t="s">
        <v>1695</v>
      </c>
      <c r="K32" s="52" t="s">
        <v>12</v>
      </c>
      <c r="L32" s="6">
        <f t="shared" si="1"/>
        <v>7.3864653280921663E-2</v>
      </c>
      <c r="M32" s="54">
        <v>7.2499999999999995E-2</v>
      </c>
      <c r="N32" s="6">
        <f t="shared" si="0"/>
        <v>9.2499999999999999E-2</v>
      </c>
    </row>
    <row r="33" spans="1:14" x14ac:dyDescent="0.35">
      <c r="A33" s="10" t="s">
        <v>14</v>
      </c>
      <c r="B33" s="10" t="s">
        <v>1638</v>
      </c>
      <c r="C33" s="10" t="s">
        <v>1639</v>
      </c>
      <c r="D33" s="10" t="s">
        <v>11</v>
      </c>
      <c r="E33" s="10" t="s">
        <v>1692</v>
      </c>
      <c r="F33" s="10" t="s">
        <v>1696</v>
      </c>
      <c r="G33" s="10" t="s">
        <v>1694</v>
      </c>
      <c r="H33" s="52">
        <v>162000</v>
      </c>
      <c r="J33" s="10" t="s">
        <v>1695</v>
      </c>
      <c r="K33" s="10" t="s">
        <v>12</v>
      </c>
      <c r="L33" s="6">
        <f t="shared" si="1"/>
        <v>7.3864653280921663E-2</v>
      </c>
      <c r="M33" s="54">
        <v>7.2499999999999995E-2</v>
      </c>
      <c r="N33" s="6">
        <f t="shared" si="0"/>
        <v>9.2499999999999999E-2</v>
      </c>
    </row>
    <row r="34" spans="1:14" x14ac:dyDescent="0.35">
      <c r="A34" s="52" t="s">
        <v>17</v>
      </c>
      <c r="B34" s="52" t="s">
        <v>1638</v>
      </c>
      <c r="C34" s="52" t="s">
        <v>1639</v>
      </c>
      <c r="D34" s="52" t="s">
        <v>11</v>
      </c>
      <c r="E34" s="52" t="s">
        <v>1692</v>
      </c>
      <c r="F34" s="52" t="s">
        <v>1697</v>
      </c>
      <c r="G34" s="52" t="s">
        <v>1694</v>
      </c>
      <c r="H34" s="52">
        <v>162000</v>
      </c>
      <c r="I34" s="52"/>
      <c r="J34" s="52" t="s">
        <v>1695</v>
      </c>
      <c r="K34" s="52" t="s">
        <v>12</v>
      </c>
      <c r="L34" s="6">
        <f t="shared" si="1"/>
        <v>7.3864653280921663E-2</v>
      </c>
      <c r="M34" s="54">
        <v>7.2499999999999995E-2</v>
      </c>
      <c r="N34" s="6">
        <f t="shared" si="0"/>
        <v>9.2499999999999999E-2</v>
      </c>
    </row>
    <row r="35" spans="1:14" x14ac:dyDescent="0.35">
      <c r="A35" s="10" t="s">
        <v>16</v>
      </c>
      <c r="B35" s="10" t="s">
        <v>1638</v>
      </c>
      <c r="C35" s="10" t="s">
        <v>1639</v>
      </c>
      <c r="D35" s="10" t="s">
        <v>11</v>
      </c>
      <c r="E35" s="10" t="s">
        <v>1692</v>
      </c>
      <c r="F35" s="10" t="s">
        <v>1698</v>
      </c>
      <c r="G35" s="10" t="s">
        <v>1694</v>
      </c>
      <c r="H35" s="52">
        <v>162000</v>
      </c>
      <c r="J35" s="10" t="s">
        <v>1695</v>
      </c>
      <c r="K35" s="10" t="s">
        <v>12</v>
      </c>
      <c r="L35" s="6">
        <f t="shared" si="1"/>
        <v>7.3864653280921663E-2</v>
      </c>
      <c r="M35" s="54">
        <v>7.2499999999999995E-2</v>
      </c>
      <c r="N35" s="6">
        <f t="shared" si="0"/>
        <v>9.2499999999999999E-2</v>
      </c>
    </row>
    <row r="36" spans="1:14" x14ac:dyDescent="0.35">
      <c r="A36" s="52" t="s">
        <v>289</v>
      </c>
      <c r="B36" s="52" t="s">
        <v>1638</v>
      </c>
      <c r="C36" s="52" t="s">
        <v>1639</v>
      </c>
      <c r="D36" s="52" t="s">
        <v>11</v>
      </c>
      <c r="E36" s="52" t="s">
        <v>1699</v>
      </c>
      <c r="F36" s="52" t="s">
        <v>1700</v>
      </c>
      <c r="G36" s="52" t="s">
        <v>1701</v>
      </c>
      <c r="H36" s="52">
        <v>245000</v>
      </c>
      <c r="I36" s="52"/>
      <c r="J36" s="52" t="s">
        <v>1702</v>
      </c>
      <c r="K36" s="52" t="s">
        <v>12</v>
      </c>
      <c r="L36" s="6">
        <f t="shared" si="1"/>
        <v>8.1510583353565674E-2</v>
      </c>
      <c r="M36" s="54">
        <v>0.08</v>
      </c>
      <c r="N36" s="6">
        <f t="shared" si="0"/>
        <v>0.1</v>
      </c>
    </row>
    <row r="37" spans="1:14" x14ac:dyDescent="0.35">
      <c r="A37" s="10" t="s">
        <v>14</v>
      </c>
      <c r="B37" s="10" t="s">
        <v>1638</v>
      </c>
      <c r="C37" s="10" t="s">
        <v>1639</v>
      </c>
      <c r="D37" s="10" t="s">
        <v>11</v>
      </c>
      <c r="E37" s="10" t="s">
        <v>1699</v>
      </c>
      <c r="F37" s="10" t="s">
        <v>1703</v>
      </c>
      <c r="G37" s="10" t="s">
        <v>1701</v>
      </c>
      <c r="H37" s="52">
        <v>245000</v>
      </c>
      <c r="J37" s="10" t="s">
        <v>1702</v>
      </c>
      <c r="K37" s="10" t="s">
        <v>12</v>
      </c>
      <c r="L37" s="6">
        <f t="shared" si="1"/>
        <v>8.1510583353565674E-2</v>
      </c>
      <c r="M37" s="54">
        <v>0.08</v>
      </c>
      <c r="N37" s="6">
        <f t="shared" si="0"/>
        <v>0.1</v>
      </c>
    </row>
    <row r="38" spans="1:14" x14ac:dyDescent="0.35">
      <c r="A38" s="52" t="s">
        <v>17</v>
      </c>
      <c r="B38" s="52" t="s">
        <v>1638</v>
      </c>
      <c r="C38" s="52" t="s">
        <v>1639</v>
      </c>
      <c r="D38" s="52" t="s">
        <v>11</v>
      </c>
      <c r="E38" s="52" t="s">
        <v>1699</v>
      </c>
      <c r="F38" s="52" t="s">
        <v>1704</v>
      </c>
      <c r="G38" s="52" t="s">
        <v>1701</v>
      </c>
      <c r="H38" s="52">
        <v>245000</v>
      </c>
      <c r="I38" s="52"/>
      <c r="J38" s="52" t="s">
        <v>1702</v>
      </c>
      <c r="K38" s="52" t="s">
        <v>12</v>
      </c>
      <c r="L38" s="6">
        <f t="shared" si="1"/>
        <v>8.1510583353565674E-2</v>
      </c>
      <c r="M38" s="54">
        <v>0.08</v>
      </c>
      <c r="N38" s="6">
        <f t="shared" si="0"/>
        <v>0.1</v>
      </c>
    </row>
    <row r="39" spans="1:14" x14ac:dyDescent="0.35">
      <c r="A39" s="10" t="s">
        <v>16</v>
      </c>
      <c r="B39" s="10" t="s">
        <v>1638</v>
      </c>
      <c r="C39" s="10" t="s">
        <v>1639</v>
      </c>
      <c r="D39" s="10" t="s">
        <v>11</v>
      </c>
      <c r="E39" s="10" t="s">
        <v>1699</v>
      </c>
      <c r="F39" s="10" t="s">
        <v>1705</v>
      </c>
      <c r="G39" s="10" t="s">
        <v>1701</v>
      </c>
      <c r="H39" s="52">
        <v>245000</v>
      </c>
      <c r="J39" s="10" t="s">
        <v>1702</v>
      </c>
      <c r="K39" s="10" t="s">
        <v>12</v>
      </c>
      <c r="L39" s="6">
        <f t="shared" si="1"/>
        <v>8.1510583353565674E-2</v>
      </c>
      <c r="M39" s="54">
        <v>0.08</v>
      </c>
      <c r="N39" s="6">
        <f t="shared" si="0"/>
        <v>0.1</v>
      </c>
    </row>
    <row r="40" spans="1:14" x14ac:dyDescent="0.35">
      <c r="A40" s="52" t="s">
        <v>18</v>
      </c>
      <c r="B40" s="52" t="s">
        <v>1638</v>
      </c>
      <c r="C40" s="52" t="s">
        <v>1639</v>
      </c>
      <c r="D40" s="52" t="s">
        <v>11</v>
      </c>
      <c r="E40" s="52" t="s">
        <v>1699</v>
      </c>
      <c r="F40" s="52" t="s">
        <v>1706</v>
      </c>
      <c r="G40" s="52" t="s">
        <v>1701</v>
      </c>
      <c r="H40" s="52">
        <v>245000</v>
      </c>
      <c r="I40" s="52"/>
      <c r="J40" s="52" t="s">
        <v>1702</v>
      </c>
      <c r="K40" s="52" t="s">
        <v>12</v>
      </c>
      <c r="L40" s="6">
        <f t="shared" si="1"/>
        <v>8.1510583353565674E-2</v>
      </c>
      <c r="M40" s="54">
        <v>0.08</v>
      </c>
      <c r="N40" s="6">
        <f t="shared" si="0"/>
        <v>0.1</v>
      </c>
    </row>
    <row r="41" spans="1:14" x14ac:dyDescent="0.35">
      <c r="A41" s="52" t="s">
        <v>289</v>
      </c>
      <c r="B41" s="52" t="s">
        <v>1638</v>
      </c>
      <c r="C41" s="52" t="s">
        <v>1639</v>
      </c>
      <c r="D41" s="52" t="s">
        <v>11</v>
      </c>
      <c r="E41" s="52" t="s">
        <v>1707</v>
      </c>
      <c r="F41" s="52" t="s">
        <v>1708</v>
      </c>
      <c r="G41" s="52" t="s">
        <v>1709</v>
      </c>
      <c r="H41" s="52">
        <v>489000</v>
      </c>
      <c r="I41" s="52"/>
      <c r="J41" s="52" t="s">
        <v>1710</v>
      </c>
      <c r="K41" s="52" t="s">
        <v>12</v>
      </c>
      <c r="L41" s="6">
        <f t="shared" si="1"/>
        <v>7.9796759726451491E-2</v>
      </c>
      <c r="M41" s="54">
        <v>0.08</v>
      </c>
      <c r="N41" s="6">
        <f t="shared" si="0"/>
        <v>0.1</v>
      </c>
    </row>
    <row r="42" spans="1:14" x14ac:dyDescent="0.35">
      <c r="A42" s="10" t="s">
        <v>14</v>
      </c>
      <c r="B42" s="10" t="s">
        <v>1638</v>
      </c>
      <c r="C42" s="10" t="s">
        <v>1639</v>
      </c>
      <c r="D42" s="10" t="s">
        <v>11</v>
      </c>
      <c r="E42" s="10" t="s">
        <v>1707</v>
      </c>
      <c r="F42" s="10" t="s">
        <v>1711</v>
      </c>
      <c r="G42" s="10" t="s">
        <v>1709</v>
      </c>
      <c r="H42" s="52">
        <v>489000</v>
      </c>
      <c r="J42" s="10" t="s">
        <v>1710</v>
      </c>
      <c r="K42" s="10" t="s">
        <v>12</v>
      </c>
      <c r="L42" s="6">
        <f t="shared" si="1"/>
        <v>7.9796759726451491E-2</v>
      </c>
      <c r="M42" s="54">
        <v>0.08</v>
      </c>
      <c r="N42" s="6">
        <f t="shared" si="0"/>
        <v>0.1</v>
      </c>
    </row>
    <row r="43" spans="1:14" x14ac:dyDescent="0.35">
      <c r="A43" s="52" t="s">
        <v>17</v>
      </c>
      <c r="B43" s="52" t="s">
        <v>1638</v>
      </c>
      <c r="C43" s="52" t="s">
        <v>1639</v>
      </c>
      <c r="D43" s="52" t="s">
        <v>11</v>
      </c>
      <c r="E43" s="52" t="s">
        <v>1707</v>
      </c>
      <c r="F43" s="52" t="s">
        <v>1712</v>
      </c>
      <c r="G43" s="52" t="s">
        <v>1709</v>
      </c>
      <c r="H43" s="52">
        <v>489000</v>
      </c>
      <c r="I43" s="52"/>
      <c r="J43" s="52" t="s">
        <v>1710</v>
      </c>
      <c r="K43" s="52" t="s">
        <v>12</v>
      </c>
      <c r="L43" s="6">
        <f t="shared" si="1"/>
        <v>7.9796759726451491E-2</v>
      </c>
      <c r="M43" s="54">
        <v>0.08</v>
      </c>
      <c r="N43" s="6">
        <f t="shared" si="0"/>
        <v>0.1</v>
      </c>
    </row>
    <row r="44" spans="1:14" x14ac:dyDescent="0.35">
      <c r="A44" s="10" t="s">
        <v>16</v>
      </c>
      <c r="B44" s="10" t="s">
        <v>1638</v>
      </c>
      <c r="C44" s="10" t="s">
        <v>1639</v>
      </c>
      <c r="D44" s="10" t="s">
        <v>11</v>
      </c>
      <c r="E44" s="10" t="s">
        <v>1707</v>
      </c>
      <c r="F44" s="10" t="s">
        <v>1713</v>
      </c>
      <c r="G44" s="10" t="s">
        <v>1709</v>
      </c>
      <c r="H44" s="52">
        <v>489000</v>
      </c>
      <c r="J44" s="10" t="s">
        <v>1710</v>
      </c>
      <c r="K44" s="10" t="s">
        <v>12</v>
      </c>
      <c r="L44" s="6">
        <f t="shared" si="1"/>
        <v>7.9796759726451491E-2</v>
      </c>
      <c r="M44" s="54">
        <v>0.08</v>
      </c>
      <c r="N44" s="6">
        <f t="shared" si="0"/>
        <v>0.1</v>
      </c>
    </row>
  </sheetData>
  <autoFilter ref="A1:K1" xr:uid="{11137836-E08B-4064-8B0A-290DEB2EA14F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9231-13F8-44AE-88FC-CB917FC48212}">
  <dimension ref="A1:N56"/>
  <sheetViews>
    <sheetView tabSelected="1" workbookViewId="0">
      <selection activeCell="M1" sqref="M1:N1"/>
    </sheetView>
  </sheetViews>
  <sheetFormatPr defaultRowHeight="14.5" x14ac:dyDescent="0.35"/>
  <cols>
    <col min="1" max="2" width="8.7265625" style="10"/>
    <col min="3" max="3" width="25.26953125" style="10" customWidth="1"/>
    <col min="4" max="5" width="8.7265625" style="10"/>
    <col min="6" max="6" width="23.453125" style="10" bestFit="1" customWidth="1"/>
    <col min="7" max="7" width="36.54296875" style="10" customWidth="1"/>
    <col min="8" max="8" width="8.81640625" style="10" bestFit="1" customWidth="1"/>
    <col min="9" max="9" width="11.90625" style="10" bestFit="1" customWidth="1"/>
    <col min="10" max="10" width="0" style="10" hidden="1" customWidth="1"/>
    <col min="11" max="11" width="10.36328125" style="10" hidden="1" customWidth="1"/>
    <col min="12" max="12" width="0" style="10" hidden="1" customWidth="1"/>
    <col min="13" max="16384" width="8.7265625" style="10"/>
  </cols>
  <sheetData>
    <row r="1" spans="1:14" ht="72.5" x14ac:dyDescent="0.35">
      <c r="A1" s="50" t="s">
        <v>0</v>
      </c>
      <c r="B1" s="49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63" t="s">
        <v>615</v>
      </c>
      <c r="I1" s="49" t="s">
        <v>550</v>
      </c>
      <c r="J1" s="50" t="s">
        <v>9</v>
      </c>
      <c r="K1" s="50" t="s">
        <v>10</v>
      </c>
      <c r="L1" s="64" t="s">
        <v>283</v>
      </c>
      <c r="M1" s="51" t="s">
        <v>547</v>
      </c>
      <c r="N1" s="51" t="s">
        <v>548</v>
      </c>
    </row>
    <row r="2" spans="1:14" x14ac:dyDescent="0.35">
      <c r="A2" s="10" t="s">
        <v>289</v>
      </c>
      <c r="B2" s="10" t="s">
        <v>1072</v>
      </c>
      <c r="C2" s="10" t="s">
        <v>1073</v>
      </c>
      <c r="D2" s="10" t="s">
        <v>11</v>
      </c>
      <c r="E2" s="10" t="s">
        <v>1074</v>
      </c>
      <c r="F2" s="10" t="s">
        <v>1075</v>
      </c>
      <c r="G2" s="10" t="s">
        <v>1076</v>
      </c>
      <c r="H2" s="10">
        <v>4750</v>
      </c>
      <c r="I2" s="10" t="s">
        <v>1077</v>
      </c>
      <c r="J2" s="10" t="s">
        <v>12</v>
      </c>
      <c r="K2" s="10" t="s">
        <v>13</v>
      </c>
      <c r="L2" s="6">
        <f>(H2-I2)/I2</f>
        <v>0.1263931705003557</v>
      </c>
      <c r="M2" s="6">
        <v>0.125</v>
      </c>
      <c r="N2" s="6">
        <f>M2+2%</f>
        <v>0.14499999999999999</v>
      </c>
    </row>
    <row r="3" spans="1:14" x14ac:dyDescent="0.35">
      <c r="A3" s="10" t="s">
        <v>289</v>
      </c>
      <c r="B3" s="10" t="s">
        <v>1072</v>
      </c>
      <c r="C3" s="10" t="s">
        <v>1073</v>
      </c>
      <c r="D3" s="10" t="s">
        <v>11</v>
      </c>
      <c r="E3" s="10" t="s">
        <v>1078</v>
      </c>
      <c r="F3" s="10" t="s">
        <v>1079</v>
      </c>
      <c r="G3" s="10" t="s">
        <v>1080</v>
      </c>
      <c r="H3" s="10">
        <v>9500</v>
      </c>
      <c r="I3" s="10" t="s">
        <v>1081</v>
      </c>
      <c r="J3" s="10" t="s">
        <v>12</v>
      </c>
      <c r="K3" s="10" t="s">
        <v>13</v>
      </c>
      <c r="L3" s="6">
        <f t="shared" ref="L3:L56" si="0">(H3-I3)/I3</f>
        <v>0.1263931705003557</v>
      </c>
      <c r="M3" s="6">
        <v>0.125</v>
      </c>
      <c r="N3" s="6">
        <f t="shared" ref="N3:N56" si="1">M3+2%</f>
        <v>0.14499999999999999</v>
      </c>
    </row>
    <row r="4" spans="1:14" x14ac:dyDescent="0.35">
      <c r="A4" s="52" t="s">
        <v>289</v>
      </c>
      <c r="B4" s="52" t="s">
        <v>1072</v>
      </c>
      <c r="C4" s="52" t="s">
        <v>1073</v>
      </c>
      <c r="D4" s="52" t="s">
        <v>11</v>
      </c>
      <c r="E4" s="52" t="s">
        <v>1078</v>
      </c>
      <c r="F4" s="52" t="s">
        <v>1082</v>
      </c>
      <c r="G4" s="52" t="s">
        <v>1080</v>
      </c>
      <c r="H4" s="52">
        <v>10000</v>
      </c>
      <c r="I4" s="52" t="s">
        <v>1083</v>
      </c>
      <c r="J4" s="52" t="s">
        <v>12</v>
      </c>
      <c r="K4" s="52" t="s">
        <v>13</v>
      </c>
      <c r="L4" s="6">
        <f t="shared" si="0"/>
        <v>0.13340133741357815</v>
      </c>
      <c r="M4" s="6">
        <v>0.13</v>
      </c>
      <c r="N4" s="6">
        <f t="shared" si="1"/>
        <v>0.15</v>
      </c>
    </row>
    <row r="5" spans="1:14" x14ac:dyDescent="0.35">
      <c r="A5" s="52" t="s">
        <v>16</v>
      </c>
      <c r="B5" s="52" t="s">
        <v>1072</v>
      </c>
      <c r="C5" s="52" t="s">
        <v>1073</v>
      </c>
      <c r="D5" s="52" t="s">
        <v>11</v>
      </c>
      <c r="E5" s="52" t="s">
        <v>1084</v>
      </c>
      <c r="F5" s="52" t="s">
        <v>1085</v>
      </c>
      <c r="G5" s="52" t="s">
        <v>1086</v>
      </c>
      <c r="H5" s="52">
        <v>23000</v>
      </c>
      <c r="I5" s="52" t="s">
        <v>1087</v>
      </c>
      <c r="J5" s="52" t="s">
        <v>12</v>
      </c>
      <c r="K5" s="52" t="s">
        <v>13</v>
      </c>
      <c r="L5" s="6">
        <f t="shared" si="0"/>
        <v>0.12828059847927398</v>
      </c>
      <c r="M5" s="6">
        <v>0.1275</v>
      </c>
      <c r="N5" s="6">
        <f t="shared" si="1"/>
        <v>0.14749999999999999</v>
      </c>
    </row>
    <row r="6" spans="1:14" x14ac:dyDescent="0.35">
      <c r="A6" s="10" t="s">
        <v>18</v>
      </c>
      <c r="B6" s="10" t="s">
        <v>1072</v>
      </c>
      <c r="C6" s="10" t="s">
        <v>1073</v>
      </c>
      <c r="D6" s="10" t="s">
        <v>11</v>
      </c>
      <c r="E6" s="10" t="s">
        <v>1084</v>
      </c>
      <c r="F6" s="10" t="s">
        <v>1088</v>
      </c>
      <c r="G6" s="10" t="s">
        <v>1086</v>
      </c>
      <c r="H6" s="52">
        <v>23000</v>
      </c>
      <c r="I6" s="10" t="s">
        <v>1087</v>
      </c>
      <c r="J6" s="10" t="s">
        <v>12</v>
      </c>
      <c r="K6" s="10" t="s">
        <v>13</v>
      </c>
      <c r="L6" s="6">
        <f t="shared" si="0"/>
        <v>0.12828059847927398</v>
      </c>
      <c r="M6" s="6">
        <v>0.1275</v>
      </c>
      <c r="N6" s="6">
        <f t="shared" si="1"/>
        <v>0.14749999999999999</v>
      </c>
    </row>
    <row r="7" spans="1:14" x14ac:dyDescent="0.35">
      <c r="A7" s="52" t="s">
        <v>289</v>
      </c>
      <c r="B7" s="52" t="s">
        <v>1072</v>
      </c>
      <c r="C7" s="52" t="s">
        <v>1073</v>
      </c>
      <c r="D7" s="52" t="s">
        <v>11</v>
      </c>
      <c r="E7" s="52" t="s">
        <v>1089</v>
      </c>
      <c r="F7" s="52" t="s">
        <v>1090</v>
      </c>
      <c r="G7" s="52" t="s">
        <v>1091</v>
      </c>
      <c r="H7" s="52">
        <v>20000</v>
      </c>
      <c r="I7" s="52" t="s">
        <v>1092</v>
      </c>
      <c r="J7" s="52" t="s">
        <v>12</v>
      </c>
      <c r="K7" s="52" t="s">
        <v>13</v>
      </c>
      <c r="L7" s="6">
        <f t="shared" si="0"/>
        <v>0.13340133741357815</v>
      </c>
      <c r="M7" s="6">
        <v>0.13</v>
      </c>
      <c r="N7" s="6">
        <f t="shared" si="1"/>
        <v>0.15</v>
      </c>
    </row>
    <row r="8" spans="1:14" x14ac:dyDescent="0.35">
      <c r="A8" s="10" t="s">
        <v>289</v>
      </c>
      <c r="B8" s="10" t="s">
        <v>1072</v>
      </c>
      <c r="C8" s="10" t="s">
        <v>1073</v>
      </c>
      <c r="D8" s="10" t="s">
        <v>11</v>
      </c>
      <c r="E8" s="10" t="s">
        <v>1089</v>
      </c>
      <c r="F8" s="10" t="s">
        <v>1093</v>
      </c>
      <c r="G8" s="10" t="s">
        <v>1091</v>
      </c>
      <c r="H8" s="10">
        <v>19000</v>
      </c>
      <c r="I8" s="10" t="s">
        <v>1094</v>
      </c>
      <c r="J8" s="10" t="s">
        <v>12</v>
      </c>
      <c r="K8" s="10" t="s">
        <v>13</v>
      </c>
      <c r="L8" s="6">
        <f t="shared" si="0"/>
        <v>0.12645995138436</v>
      </c>
      <c r="M8" s="6">
        <v>0.125</v>
      </c>
      <c r="N8" s="6">
        <f t="shared" si="1"/>
        <v>0.14499999999999999</v>
      </c>
    </row>
    <row r="9" spans="1:14" x14ac:dyDescent="0.35">
      <c r="A9" s="52" t="s">
        <v>16</v>
      </c>
      <c r="B9" s="52" t="s">
        <v>1072</v>
      </c>
      <c r="C9" s="52" t="s">
        <v>1073</v>
      </c>
      <c r="D9" s="52" t="s">
        <v>11</v>
      </c>
      <c r="E9" s="52" t="s">
        <v>1095</v>
      </c>
      <c r="F9" s="52" t="s">
        <v>1096</v>
      </c>
      <c r="G9" s="52" t="s">
        <v>1097</v>
      </c>
      <c r="H9" s="52">
        <v>46000</v>
      </c>
      <c r="I9" s="52" t="s">
        <v>1098</v>
      </c>
      <c r="J9" s="52" t="s">
        <v>12</v>
      </c>
      <c r="K9" s="52" t="s">
        <v>13</v>
      </c>
      <c r="L9" s="6">
        <f t="shared" si="0"/>
        <v>0.12830827344305723</v>
      </c>
      <c r="M9" s="6">
        <v>0.1275</v>
      </c>
      <c r="N9" s="6">
        <f t="shared" si="1"/>
        <v>0.14749999999999999</v>
      </c>
    </row>
    <row r="10" spans="1:14" x14ac:dyDescent="0.35">
      <c r="A10" s="10" t="s">
        <v>18</v>
      </c>
      <c r="B10" s="10" t="s">
        <v>1072</v>
      </c>
      <c r="C10" s="10" t="s">
        <v>1073</v>
      </c>
      <c r="D10" s="10" t="s">
        <v>11</v>
      </c>
      <c r="E10" s="10" t="s">
        <v>1095</v>
      </c>
      <c r="F10" s="10" t="s">
        <v>1099</v>
      </c>
      <c r="G10" s="10" t="s">
        <v>1097</v>
      </c>
      <c r="H10" s="52">
        <v>46000</v>
      </c>
      <c r="I10" s="10" t="s">
        <v>1098</v>
      </c>
      <c r="J10" s="10" t="s">
        <v>12</v>
      </c>
      <c r="K10" s="10" t="s">
        <v>13</v>
      </c>
      <c r="L10" s="6">
        <f t="shared" si="0"/>
        <v>0.12830827344305723</v>
      </c>
      <c r="M10" s="6">
        <v>0.1275</v>
      </c>
      <c r="N10" s="6">
        <f t="shared" si="1"/>
        <v>0.14749999999999999</v>
      </c>
    </row>
    <row r="11" spans="1:14" x14ac:dyDescent="0.35">
      <c r="A11" s="10" t="s">
        <v>289</v>
      </c>
      <c r="B11" s="10" t="s">
        <v>1072</v>
      </c>
      <c r="C11" s="10" t="s">
        <v>1073</v>
      </c>
      <c r="D11" s="10" t="s">
        <v>11</v>
      </c>
      <c r="E11" s="10" t="s">
        <v>1100</v>
      </c>
      <c r="F11" s="10" t="s">
        <v>1101</v>
      </c>
      <c r="G11" s="10" t="s">
        <v>1102</v>
      </c>
      <c r="H11" s="10">
        <v>47500</v>
      </c>
      <c r="I11" s="10" t="s">
        <v>1103</v>
      </c>
      <c r="J11" s="10" t="s">
        <v>12</v>
      </c>
      <c r="K11" s="10" t="s">
        <v>13</v>
      </c>
      <c r="L11" s="6">
        <f t="shared" si="0"/>
        <v>0.12644659457408461</v>
      </c>
      <c r="M11" s="6">
        <v>0.125</v>
      </c>
      <c r="N11" s="6">
        <f t="shared" si="1"/>
        <v>0.14499999999999999</v>
      </c>
    </row>
    <row r="12" spans="1:14" x14ac:dyDescent="0.35">
      <c r="A12" s="52" t="s">
        <v>289</v>
      </c>
      <c r="B12" s="52" t="s">
        <v>1072</v>
      </c>
      <c r="C12" s="52" t="s">
        <v>1073</v>
      </c>
      <c r="D12" s="52" t="s">
        <v>11</v>
      </c>
      <c r="E12" s="52" t="s">
        <v>1100</v>
      </c>
      <c r="F12" s="52" t="s">
        <v>1104</v>
      </c>
      <c r="G12" s="52" t="s">
        <v>1102</v>
      </c>
      <c r="H12" s="52">
        <v>50000</v>
      </c>
      <c r="I12" s="52" t="s">
        <v>1105</v>
      </c>
      <c r="J12" s="52" t="s">
        <v>12</v>
      </c>
      <c r="K12" s="52" t="s">
        <v>13</v>
      </c>
      <c r="L12" s="6">
        <f t="shared" si="0"/>
        <v>0.13340133741357815</v>
      </c>
      <c r="M12" s="6">
        <v>0.13</v>
      </c>
      <c r="N12" s="6">
        <f t="shared" si="1"/>
        <v>0.15</v>
      </c>
    </row>
    <row r="13" spans="1:14" x14ac:dyDescent="0.35">
      <c r="A13" s="10" t="s">
        <v>16</v>
      </c>
      <c r="B13" s="10" t="s">
        <v>1072</v>
      </c>
      <c r="C13" s="10" t="s">
        <v>1073</v>
      </c>
      <c r="D13" s="10" t="s">
        <v>11</v>
      </c>
      <c r="E13" s="10" t="s">
        <v>1106</v>
      </c>
      <c r="F13" s="10" t="s">
        <v>1107</v>
      </c>
      <c r="G13" s="10" t="s">
        <v>1108</v>
      </c>
      <c r="H13" s="52">
        <v>92000</v>
      </c>
      <c r="I13" s="10" t="s">
        <v>1109</v>
      </c>
      <c r="J13" s="10" t="s">
        <v>12</v>
      </c>
      <c r="K13" s="10" t="s">
        <v>13</v>
      </c>
      <c r="L13" s="6">
        <f t="shared" si="0"/>
        <v>0.12830827344305723</v>
      </c>
      <c r="M13" s="6">
        <v>0.1275</v>
      </c>
      <c r="N13" s="6">
        <f t="shared" si="1"/>
        <v>0.14749999999999999</v>
      </c>
    </row>
    <row r="14" spans="1:14" x14ac:dyDescent="0.35">
      <c r="A14" s="52" t="s">
        <v>18</v>
      </c>
      <c r="B14" s="52" t="s">
        <v>1072</v>
      </c>
      <c r="C14" s="52" t="s">
        <v>1073</v>
      </c>
      <c r="D14" s="52" t="s">
        <v>11</v>
      </c>
      <c r="E14" s="52" t="s">
        <v>1106</v>
      </c>
      <c r="F14" s="52" t="s">
        <v>1110</v>
      </c>
      <c r="G14" s="52" t="s">
        <v>1108</v>
      </c>
      <c r="H14" s="52">
        <v>92000</v>
      </c>
      <c r="I14" s="52" t="s">
        <v>1109</v>
      </c>
      <c r="J14" s="52" t="s">
        <v>12</v>
      </c>
      <c r="K14" s="52" t="s">
        <v>13</v>
      </c>
      <c r="L14" s="6">
        <f t="shared" si="0"/>
        <v>0.12830827344305723</v>
      </c>
      <c r="M14" s="6">
        <v>0.1275</v>
      </c>
      <c r="N14" s="6">
        <f t="shared" si="1"/>
        <v>0.14749999999999999</v>
      </c>
    </row>
    <row r="15" spans="1:14" x14ac:dyDescent="0.35">
      <c r="A15" s="10" t="s">
        <v>289</v>
      </c>
      <c r="B15" s="10" t="s">
        <v>1072</v>
      </c>
      <c r="C15" s="10" t="s">
        <v>1073</v>
      </c>
      <c r="D15" s="10" t="s">
        <v>11</v>
      </c>
      <c r="E15" s="10" t="s">
        <v>1111</v>
      </c>
      <c r="F15" s="10" t="s">
        <v>1112</v>
      </c>
      <c r="G15" s="10" t="s">
        <v>1113</v>
      </c>
      <c r="H15" s="10">
        <v>100000</v>
      </c>
      <c r="I15" s="10" t="s">
        <v>1114</v>
      </c>
      <c r="J15" s="10" t="s">
        <v>12</v>
      </c>
      <c r="K15" s="10" t="s">
        <v>13</v>
      </c>
      <c r="L15" s="6">
        <f t="shared" si="0"/>
        <v>0.13340133741357815</v>
      </c>
      <c r="M15" s="6">
        <v>0.13</v>
      </c>
      <c r="N15" s="6">
        <f t="shared" si="1"/>
        <v>0.15</v>
      </c>
    </row>
    <row r="16" spans="1:14" x14ac:dyDescent="0.35">
      <c r="A16" s="52" t="s">
        <v>289</v>
      </c>
      <c r="B16" s="52" t="s">
        <v>1072</v>
      </c>
      <c r="C16" s="52" t="s">
        <v>1073</v>
      </c>
      <c r="D16" s="52" t="s">
        <v>11</v>
      </c>
      <c r="E16" s="52" t="s">
        <v>1111</v>
      </c>
      <c r="F16" s="52" t="s">
        <v>1115</v>
      </c>
      <c r="G16" s="52" t="s">
        <v>1113</v>
      </c>
      <c r="H16" s="52">
        <v>95000</v>
      </c>
      <c r="I16" s="52" t="s">
        <v>1116</v>
      </c>
      <c r="J16" s="52" t="s">
        <v>12</v>
      </c>
      <c r="K16" s="52" t="s">
        <v>13</v>
      </c>
      <c r="L16" s="6">
        <f t="shared" si="0"/>
        <v>0.12645995138436</v>
      </c>
      <c r="M16" s="6">
        <v>0.125</v>
      </c>
      <c r="N16" s="6">
        <f t="shared" si="1"/>
        <v>0.14499999999999999</v>
      </c>
    </row>
    <row r="17" spans="1:14" x14ac:dyDescent="0.35">
      <c r="A17" s="52" t="s">
        <v>16</v>
      </c>
      <c r="B17" s="52" t="s">
        <v>1072</v>
      </c>
      <c r="C17" s="52" t="s">
        <v>1073</v>
      </c>
      <c r="D17" s="52" t="s">
        <v>11</v>
      </c>
      <c r="E17" s="52" t="s">
        <v>1117</v>
      </c>
      <c r="F17" s="52" t="s">
        <v>1118</v>
      </c>
      <c r="G17" s="52" t="s">
        <v>1119</v>
      </c>
      <c r="H17" s="52">
        <v>138000</v>
      </c>
      <c r="I17" s="52" t="s">
        <v>1120</v>
      </c>
      <c r="J17" s="52" t="s">
        <v>12</v>
      </c>
      <c r="K17" s="52" t="s">
        <v>13</v>
      </c>
      <c r="L17" s="6">
        <f t="shared" si="0"/>
        <v>0.12831749873268686</v>
      </c>
      <c r="M17" s="6">
        <v>0.1275</v>
      </c>
      <c r="N17" s="6">
        <f t="shared" si="1"/>
        <v>0.14749999999999999</v>
      </c>
    </row>
    <row r="18" spans="1:14" x14ac:dyDescent="0.35">
      <c r="A18" s="10" t="s">
        <v>18</v>
      </c>
      <c r="B18" s="10" t="s">
        <v>1072</v>
      </c>
      <c r="C18" s="10" t="s">
        <v>1073</v>
      </c>
      <c r="D18" s="10" t="s">
        <v>11</v>
      </c>
      <c r="E18" s="10" t="s">
        <v>1117</v>
      </c>
      <c r="F18" s="10" t="s">
        <v>1121</v>
      </c>
      <c r="G18" s="10" t="s">
        <v>1119</v>
      </c>
      <c r="H18" s="52">
        <v>138000</v>
      </c>
      <c r="I18" s="10" t="s">
        <v>1120</v>
      </c>
      <c r="J18" s="10" t="s">
        <v>12</v>
      </c>
      <c r="K18" s="10" t="s">
        <v>13</v>
      </c>
      <c r="L18" s="6">
        <f t="shared" si="0"/>
        <v>0.12831749873268686</v>
      </c>
      <c r="M18" s="6">
        <v>0.1275</v>
      </c>
      <c r="N18" s="6">
        <f t="shared" si="1"/>
        <v>0.14749999999999999</v>
      </c>
    </row>
    <row r="19" spans="1:14" x14ac:dyDescent="0.35">
      <c r="A19" s="52" t="s">
        <v>289</v>
      </c>
      <c r="B19" s="52" t="s">
        <v>1072</v>
      </c>
      <c r="C19" s="52" t="s">
        <v>1073</v>
      </c>
      <c r="D19" s="52" t="s">
        <v>11</v>
      </c>
      <c r="E19" s="52" t="s">
        <v>1122</v>
      </c>
      <c r="F19" s="52" t="s">
        <v>1123</v>
      </c>
      <c r="G19" s="52" t="s">
        <v>1124</v>
      </c>
      <c r="H19" s="52">
        <v>114000</v>
      </c>
      <c r="I19" s="52" t="s">
        <v>1125</v>
      </c>
      <c r="J19" s="52" t="s">
        <v>12</v>
      </c>
      <c r="K19" s="52" t="s">
        <v>13</v>
      </c>
      <c r="L19" s="6">
        <f t="shared" si="0"/>
        <v>0.12645995138436</v>
      </c>
      <c r="M19" s="6">
        <v>0.125</v>
      </c>
      <c r="N19" s="6">
        <f t="shared" si="1"/>
        <v>0.14499999999999999</v>
      </c>
    </row>
    <row r="20" spans="1:14" x14ac:dyDescent="0.35">
      <c r="A20" s="52" t="s">
        <v>289</v>
      </c>
      <c r="B20" s="52" t="s">
        <v>1072</v>
      </c>
      <c r="C20" s="52" t="s">
        <v>1073</v>
      </c>
      <c r="D20" s="52" t="s">
        <v>11</v>
      </c>
      <c r="E20" s="52" t="s">
        <v>1122</v>
      </c>
      <c r="F20" s="52" t="s">
        <v>1126</v>
      </c>
      <c r="G20" s="52" t="s">
        <v>1124</v>
      </c>
      <c r="H20" s="52">
        <v>120000</v>
      </c>
      <c r="I20" s="52" t="s">
        <v>1127</v>
      </c>
      <c r="J20" s="52" t="s">
        <v>12</v>
      </c>
      <c r="K20" s="52" t="s">
        <v>13</v>
      </c>
      <c r="L20" s="6">
        <f t="shared" si="0"/>
        <v>0.13340133741357815</v>
      </c>
      <c r="M20" s="6">
        <v>0.13</v>
      </c>
      <c r="N20" s="6">
        <f t="shared" si="1"/>
        <v>0.15</v>
      </c>
    </row>
    <row r="21" spans="1:14" x14ac:dyDescent="0.35">
      <c r="A21" s="52" t="s">
        <v>16</v>
      </c>
      <c r="B21" s="52" t="s">
        <v>1072</v>
      </c>
      <c r="C21" s="52" t="s">
        <v>1073</v>
      </c>
      <c r="D21" s="52" t="s">
        <v>11</v>
      </c>
      <c r="E21" s="52" t="s">
        <v>1128</v>
      </c>
      <c r="F21" s="52" t="s">
        <v>1129</v>
      </c>
      <c r="G21" s="52" t="s">
        <v>1130</v>
      </c>
      <c r="H21" s="52">
        <v>230000</v>
      </c>
      <c r="I21" s="52" t="s">
        <v>1131</v>
      </c>
      <c r="J21" s="52" t="s">
        <v>12</v>
      </c>
      <c r="K21" s="52" t="s">
        <v>13</v>
      </c>
      <c r="L21" s="6">
        <f t="shared" si="0"/>
        <v>0.12831380859873237</v>
      </c>
      <c r="M21" s="6">
        <v>0.1275</v>
      </c>
      <c r="N21" s="6">
        <f t="shared" si="1"/>
        <v>0.14749999999999999</v>
      </c>
    </row>
    <row r="22" spans="1:14" x14ac:dyDescent="0.35">
      <c r="A22" s="10" t="s">
        <v>18</v>
      </c>
      <c r="B22" s="10" t="s">
        <v>1072</v>
      </c>
      <c r="C22" s="10" t="s">
        <v>1073</v>
      </c>
      <c r="D22" s="10" t="s">
        <v>11</v>
      </c>
      <c r="E22" s="10" t="s">
        <v>1128</v>
      </c>
      <c r="F22" s="10" t="s">
        <v>1132</v>
      </c>
      <c r="G22" s="10" t="s">
        <v>1130</v>
      </c>
      <c r="H22" s="52">
        <v>230000</v>
      </c>
      <c r="I22" s="10" t="s">
        <v>1131</v>
      </c>
      <c r="J22" s="10" t="s">
        <v>12</v>
      </c>
      <c r="K22" s="10" t="s">
        <v>13</v>
      </c>
      <c r="L22" s="6">
        <f t="shared" si="0"/>
        <v>0.12831380859873237</v>
      </c>
      <c r="M22" s="6">
        <v>0.1275</v>
      </c>
      <c r="N22" s="6">
        <f t="shared" si="1"/>
        <v>0.14749999999999999</v>
      </c>
    </row>
    <row r="23" spans="1:14" x14ac:dyDescent="0.35">
      <c r="A23" s="10" t="s">
        <v>289</v>
      </c>
      <c r="B23" s="10" t="s">
        <v>1072</v>
      </c>
      <c r="C23" s="10" t="s">
        <v>1073</v>
      </c>
      <c r="D23" s="10" t="s">
        <v>11</v>
      </c>
      <c r="E23" s="10" t="s">
        <v>1133</v>
      </c>
      <c r="F23" s="10" t="s">
        <v>1134</v>
      </c>
      <c r="G23" s="10" t="s">
        <v>1135</v>
      </c>
      <c r="H23" s="10">
        <v>200000</v>
      </c>
      <c r="I23" s="10" t="s">
        <v>1136</v>
      </c>
      <c r="J23" s="10" t="s">
        <v>12</v>
      </c>
      <c r="K23" s="10" t="s">
        <v>13</v>
      </c>
      <c r="L23" s="6">
        <f t="shared" si="0"/>
        <v>0.13340133741357815</v>
      </c>
      <c r="M23" s="6">
        <v>0.13</v>
      </c>
      <c r="N23" s="6">
        <f t="shared" si="1"/>
        <v>0.15</v>
      </c>
    </row>
    <row r="24" spans="1:14" x14ac:dyDescent="0.35">
      <c r="A24" s="10" t="s">
        <v>289</v>
      </c>
      <c r="B24" s="10" t="s">
        <v>1072</v>
      </c>
      <c r="C24" s="10" t="s">
        <v>1073</v>
      </c>
      <c r="D24" s="10" t="s">
        <v>11</v>
      </c>
      <c r="E24" s="10" t="s">
        <v>1133</v>
      </c>
      <c r="F24" s="10" t="s">
        <v>1137</v>
      </c>
      <c r="G24" s="10" t="s">
        <v>1135</v>
      </c>
      <c r="H24" s="10">
        <v>190000</v>
      </c>
      <c r="I24" s="10" t="s">
        <v>1138</v>
      </c>
      <c r="J24" s="10" t="s">
        <v>12</v>
      </c>
      <c r="K24" s="10" t="s">
        <v>13</v>
      </c>
      <c r="L24" s="6">
        <f t="shared" si="0"/>
        <v>0.12645995138436</v>
      </c>
      <c r="M24" s="6">
        <v>0.125</v>
      </c>
      <c r="N24" s="6">
        <f t="shared" si="1"/>
        <v>0.14499999999999999</v>
      </c>
    </row>
    <row r="25" spans="1:14" x14ac:dyDescent="0.35">
      <c r="A25" s="52" t="s">
        <v>289</v>
      </c>
      <c r="B25" s="52" t="s">
        <v>1072</v>
      </c>
      <c r="C25" s="52" t="s">
        <v>1073</v>
      </c>
      <c r="D25" s="52" t="s">
        <v>11</v>
      </c>
      <c r="E25" s="52" t="s">
        <v>1139</v>
      </c>
      <c r="F25" s="52" t="s">
        <v>1140</v>
      </c>
      <c r="G25" s="52" t="s">
        <v>1141</v>
      </c>
      <c r="H25" s="52">
        <v>285000</v>
      </c>
      <c r="I25" s="52" t="s">
        <v>1142</v>
      </c>
      <c r="J25" s="52" t="s">
        <v>12</v>
      </c>
      <c r="K25" s="52" t="s">
        <v>13</v>
      </c>
      <c r="L25" s="6">
        <f t="shared" si="0"/>
        <v>0.12645995138436</v>
      </c>
      <c r="M25" s="6">
        <v>0.125</v>
      </c>
      <c r="N25" s="6">
        <f t="shared" si="1"/>
        <v>0.14499999999999999</v>
      </c>
    </row>
    <row r="26" spans="1:14" x14ac:dyDescent="0.35">
      <c r="A26" s="52" t="s">
        <v>289</v>
      </c>
      <c r="B26" s="52" t="s">
        <v>1072</v>
      </c>
      <c r="C26" s="52" t="s">
        <v>1073</v>
      </c>
      <c r="D26" s="52" t="s">
        <v>11</v>
      </c>
      <c r="E26" s="52" t="s">
        <v>1139</v>
      </c>
      <c r="F26" s="52" t="s">
        <v>1143</v>
      </c>
      <c r="G26" s="52" t="s">
        <v>1141</v>
      </c>
      <c r="H26" s="52">
        <v>300000</v>
      </c>
      <c r="I26" s="52" t="s">
        <v>1144</v>
      </c>
      <c r="J26" s="52" t="s">
        <v>12</v>
      </c>
      <c r="K26" s="52" t="s">
        <v>13</v>
      </c>
      <c r="L26" s="6">
        <f t="shared" si="0"/>
        <v>0.13340133741357815</v>
      </c>
      <c r="M26" s="6">
        <v>0.13</v>
      </c>
      <c r="N26" s="6">
        <f t="shared" si="1"/>
        <v>0.15</v>
      </c>
    </row>
    <row r="27" spans="1:14" x14ac:dyDescent="0.35">
      <c r="A27" s="10" t="s">
        <v>16</v>
      </c>
      <c r="B27" s="10" t="s">
        <v>1072</v>
      </c>
      <c r="C27" s="10" t="s">
        <v>1073</v>
      </c>
      <c r="D27" s="10" t="s">
        <v>11</v>
      </c>
      <c r="E27" s="10" t="s">
        <v>1145</v>
      </c>
      <c r="F27" s="10" t="s">
        <v>1146</v>
      </c>
      <c r="G27" s="10" t="s">
        <v>1147</v>
      </c>
      <c r="H27" s="52">
        <v>460000</v>
      </c>
      <c r="I27" s="10" t="s">
        <v>1148</v>
      </c>
      <c r="J27" s="10" t="s">
        <v>12</v>
      </c>
      <c r="K27" s="10" t="s">
        <v>13</v>
      </c>
      <c r="L27" s="6">
        <f t="shared" si="0"/>
        <v>0.1283165761969354</v>
      </c>
      <c r="M27" s="6">
        <v>0.1275</v>
      </c>
      <c r="N27" s="6">
        <f t="shared" si="1"/>
        <v>0.14749999999999999</v>
      </c>
    </row>
    <row r="28" spans="1:14" x14ac:dyDescent="0.35">
      <c r="A28" s="52" t="s">
        <v>18</v>
      </c>
      <c r="B28" s="52" t="s">
        <v>1072</v>
      </c>
      <c r="C28" s="52" t="s">
        <v>1073</v>
      </c>
      <c r="D28" s="52" t="s">
        <v>11</v>
      </c>
      <c r="E28" s="52" t="s">
        <v>1145</v>
      </c>
      <c r="F28" s="52" t="s">
        <v>1149</v>
      </c>
      <c r="G28" s="52" t="s">
        <v>1147</v>
      </c>
      <c r="H28" s="52">
        <v>460000</v>
      </c>
      <c r="I28" s="52" t="s">
        <v>1148</v>
      </c>
      <c r="J28" s="52" t="s">
        <v>12</v>
      </c>
      <c r="K28" s="52" t="s">
        <v>13</v>
      </c>
      <c r="L28" s="6">
        <f t="shared" si="0"/>
        <v>0.1283165761969354</v>
      </c>
      <c r="M28" s="6">
        <v>0.1275</v>
      </c>
      <c r="N28" s="6">
        <f t="shared" si="1"/>
        <v>0.14749999999999999</v>
      </c>
    </row>
    <row r="29" spans="1:14" x14ac:dyDescent="0.35">
      <c r="A29" s="52" t="s">
        <v>289</v>
      </c>
      <c r="B29" s="52" t="s">
        <v>1072</v>
      </c>
      <c r="C29" s="52" t="s">
        <v>1073</v>
      </c>
      <c r="D29" s="52" t="s">
        <v>11</v>
      </c>
      <c r="E29" s="52" t="s">
        <v>1150</v>
      </c>
      <c r="F29" s="52" t="s">
        <v>1151</v>
      </c>
      <c r="G29" s="52" t="s">
        <v>1152</v>
      </c>
      <c r="H29" s="52">
        <v>380000</v>
      </c>
      <c r="I29" s="52" t="s">
        <v>1153</v>
      </c>
      <c r="J29" s="52" t="s">
        <v>12</v>
      </c>
      <c r="K29" s="52" t="s">
        <v>13</v>
      </c>
      <c r="L29" s="6">
        <f t="shared" si="0"/>
        <v>0.13340133741357815</v>
      </c>
      <c r="M29" s="17">
        <v>0.13</v>
      </c>
      <c r="N29" s="6">
        <f t="shared" si="1"/>
        <v>0.15</v>
      </c>
    </row>
    <row r="30" spans="1:14" x14ac:dyDescent="0.35">
      <c r="A30" s="52" t="s">
        <v>289</v>
      </c>
      <c r="B30" s="52" t="s">
        <v>1072</v>
      </c>
      <c r="C30" s="52" t="s">
        <v>1073</v>
      </c>
      <c r="D30" s="52" t="s">
        <v>11</v>
      </c>
      <c r="E30" s="52" t="s">
        <v>1150</v>
      </c>
      <c r="F30" s="52" t="s">
        <v>1154</v>
      </c>
      <c r="G30" s="52" t="s">
        <v>1152</v>
      </c>
      <c r="H30" s="52">
        <v>361000</v>
      </c>
      <c r="I30" s="52" t="s">
        <v>1155</v>
      </c>
      <c r="J30" s="52" t="s">
        <v>12</v>
      </c>
      <c r="K30" s="52" t="s">
        <v>13</v>
      </c>
      <c r="L30" s="6">
        <f t="shared" si="0"/>
        <v>0.12645995138436</v>
      </c>
      <c r="M30" s="6">
        <v>0.125</v>
      </c>
      <c r="N30" s="6">
        <f t="shared" si="1"/>
        <v>0.14499999999999999</v>
      </c>
    </row>
    <row r="31" spans="1:14" x14ac:dyDescent="0.35">
      <c r="A31" s="10" t="s">
        <v>289</v>
      </c>
      <c r="B31" s="10" t="s">
        <v>1072</v>
      </c>
      <c r="C31" s="10" t="s">
        <v>1073</v>
      </c>
      <c r="D31" s="10" t="s">
        <v>11</v>
      </c>
      <c r="E31" s="10" t="s">
        <v>1156</v>
      </c>
      <c r="F31" s="10" t="s">
        <v>1157</v>
      </c>
      <c r="G31" s="10" t="s">
        <v>1158</v>
      </c>
      <c r="H31" s="10">
        <v>475000</v>
      </c>
      <c r="I31" s="10" t="s">
        <v>1159</v>
      </c>
      <c r="J31" s="10" t="s">
        <v>12</v>
      </c>
      <c r="K31" s="10" t="s">
        <v>13</v>
      </c>
      <c r="L31" s="6">
        <f t="shared" si="0"/>
        <v>0.12645995138436</v>
      </c>
      <c r="M31" s="6">
        <v>0.125</v>
      </c>
      <c r="N31" s="6">
        <f t="shared" si="1"/>
        <v>0.14499999999999999</v>
      </c>
    </row>
    <row r="32" spans="1:14" x14ac:dyDescent="0.35">
      <c r="A32" s="52" t="s">
        <v>289</v>
      </c>
      <c r="B32" s="52" t="s">
        <v>1072</v>
      </c>
      <c r="C32" s="52" t="s">
        <v>1073</v>
      </c>
      <c r="D32" s="52" t="s">
        <v>11</v>
      </c>
      <c r="E32" s="52" t="s">
        <v>1156</v>
      </c>
      <c r="F32" s="52" t="s">
        <v>1160</v>
      </c>
      <c r="G32" s="52" t="s">
        <v>1158</v>
      </c>
      <c r="H32" s="52">
        <v>500000</v>
      </c>
      <c r="I32" s="52" t="s">
        <v>1161</v>
      </c>
      <c r="J32" s="52" t="s">
        <v>12</v>
      </c>
      <c r="K32" s="52" t="s">
        <v>13</v>
      </c>
      <c r="L32" s="6">
        <f t="shared" si="0"/>
        <v>0.13340133741357815</v>
      </c>
      <c r="M32" s="6">
        <v>0.13</v>
      </c>
      <c r="N32" s="6">
        <f t="shared" si="1"/>
        <v>0.15</v>
      </c>
    </row>
    <row r="33" spans="1:14" x14ac:dyDescent="0.35">
      <c r="A33" s="10" t="s">
        <v>16</v>
      </c>
      <c r="B33" s="10" t="s">
        <v>1072</v>
      </c>
      <c r="C33" s="10" t="s">
        <v>1073</v>
      </c>
      <c r="D33" s="10" t="s">
        <v>11</v>
      </c>
      <c r="E33" s="10" t="s">
        <v>1162</v>
      </c>
      <c r="F33" s="10" t="s">
        <v>1163</v>
      </c>
      <c r="G33" s="10" t="s">
        <v>1164</v>
      </c>
      <c r="H33" s="52">
        <v>918000</v>
      </c>
      <c r="I33" s="10" t="s">
        <v>1165</v>
      </c>
      <c r="J33" s="10" t="s">
        <v>12</v>
      </c>
      <c r="K33" s="10" t="s">
        <v>13</v>
      </c>
      <c r="L33" s="6">
        <f t="shared" si="0"/>
        <v>0.12586509487069109</v>
      </c>
      <c r="M33" s="6">
        <v>0.125</v>
      </c>
      <c r="N33" s="6">
        <f t="shared" si="1"/>
        <v>0.14499999999999999</v>
      </c>
    </row>
    <row r="34" spans="1:14" x14ac:dyDescent="0.35">
      <c r="A34" s="52" t="s">
        <v>18</v>
      </c>
      <c r="B34" s="52" t="s">
        <v>1072</v>
      </c>
      <c r="C34" s="52" t="s">
        <v>1073</v>
      </c>
      <c r="D34" s="52" t="s">
        <v>11</v>
      </c>
      <c r="E34" s="52" t="s">
        <v>1162</v>
      </c>
      <c r="F34" s="52" t="s">
        <v>1166</v>
      </c>
      <c r="G34" s="52" t="s">
        <v>1164</v>
      </c>
      <c r="H34" s="52">
        <v>918000</v>
      </c>
      <c r="I34" s="52" t="s">
        <v>1165</v>
      </c>
      <c r="J34" s="52" t="s">
        <v>12</v>
      </c>
      <c r="K34" s="52" t="s">
        <v>13</v>
      </c>
      <c r="L34" s="6">
        <f t="shared" si="0"/>
        <v>0.12586509487069109</v>
      </c>
      <c r="M34" s="6">
        <v>0.125</v>
      </c>
      <c r="N34" s="6">
        <f t="shared" si="1"/>
        <v>0.14499999999999999</v>
      </c>
    </row>
    <row r="35" spans="1:14" x14ac:dyDescent="0.35">
      <c r="A35" s="52" t="s">
        <v>289</v>
      </c>
      <c r="B35" s="52" t="s">
        <v>1072</v>
      </c>
      <c r="C35" s="52" t="s">
        <v>1073</v>
      </c>
      <c r="D35" s="52" t="s">
        <v>11</v>
      </c>
      <c r="E35" s="52" t="s">
        <v>1167</v>
      </c>
      <c r="F35" s="52" t="s">
        <v>1168</v>
      </c>
      <c r="G35" s="52" t="s">
        <v>1169</v>
      </c>
      <c r="H35" s="52">
        <v>693500</v>
      </c>
      <c r="I35" s="52" t="s">
        <v>1170</v>
      </c>
      <c r="J35" s="52" t="s">
        <v>12</v>
      </c>
      <c r="K35" s="52" t="s">
        <v>13</v>
      </c>
      <c r="L35" s="6">
        <f t="shared" si="0"/>
        <v>0.12645903652423632</v>
      </c>
      <c r="M35" s="6">
        <v>0.125</v>
      </c>
      <c r="N35" s="6">
        <f t="shared" si="1"/>
        <v>0.14499999999999999</v>
      </c>
    </row>
    <row r="36" spans="1:14" x14ac:dyDescent="0.35">
      <c r="A36" s="10" t="s">
        <v>289</v>
      </c>
      <c r="B36" s="10" t="s">
        <v>1072</v>
      </c>
      <c r="C36" s="10" t="s">
        <v>1073</v>
      </c>
      <c r="D36" s="10" t="s">
        <v>11</v>
      </c>
      <c r="E36" s="10" t="s">
        <v>1167</v>
      </c>
      <c r="F36" s="10" t="s">
        <v>1171</v>
      </c>
      <c r="G36" s="10" t="s">
        <v>1169</v>
      </c>
      <c r="H36" s="10">
        <v>730000</v>
      </c>
      <c r="I36" s="10" t="s">
        <v>1172</v>
      </c>
      <c r="J36" s="10" t="s">
        <v>12</v>
      </c>
      <c r="K36" s="10" t="s">
        <v>13</v>
      </c>
      <c r="L36" s="6">
        <f t="shared" si="0"/>
        <v>0.13340133741357815</v>
      </c>
      <c r="M36" s="6">
        <v>0.13</v>
      </c>
      <c r="N36" s="6">
        <f t="shared" si="1"/>
        <v>0.15</v>
      </c>
    </row>
    <row r="37" spans="1:14" x14ac:dyDescent="0.35">
      <c r="A37" s="52" t="s">
        <v>289</v>
      </c>
      <c r="B37" s="52" t="s">
        <v>1072</v>
      </c>
      <c r="C37" s="52" t="s">
        <v>1073</v>
      </c>
      <c r="D37" s="52" t="s">
        <v>11</v>
      </c>
      <c r="E37" s="52" t="s">
        <v>1173</v>
      </c>
      <c r="F37" s="52" t="s">
        <v>1174</v>
      </c>
      <c r="G37" s="52" t="s">
        <v>1175</v>
      </c>
      <c r="H37" s="52">
        <v>1000000</v>
      </c>
      <c r="I37" s="52" t="s">
        <v>1176</v>
      </c>
      <c r="J37" s="52" t="s">
        <v>12</v>
      </c>
      <c r="K37" s="52" t="s">
        <v>13</v>
      </c>
      <c r="L37" s="6">
        <f t="shared" si="0"/>
        <v>0.13340133741357815</v>
      </c>
      <c r="M37" s="6">
        <v>0.13</v>
      </c>
      <c r="N37" s="6">
        <f t="shared" si="1"/>
        <v>0.15</v>
      </c>
    </row>
    <row r="38" spans="1:14" x14ac:dyDescent="0.35">
      <c r="A38" s="52" t="s">
        <v>289</v>
      </c>
      <c r="B38" s="52" t="s">
        <v>1072</v>
      </c>
      <c r="C38" s="52" t="s">
        <v>1073</v>
      </c>
      <c r="D38" s="52" t="s">
        <v>11</v>
      </c>
      <c r="E38" s="52" t="s">
        <v>1173</v>
      </c>
      <c r="F38" s="52" t="s">
        <v>1177</v>
      </c>
      <c r="G38" s="52" t="s">
        <v>1175</v>
      </c>
      <c r="H38" s="52">
        <v>950000</v>
      </c>
      <c r="I38" s="52" t="s">
        <v>1178</v>
      </c>
      <c r="J38" s="52" t="s">
        <v>12</v>
      </c>
      <c r="K38" s="52" t="s">
        <v>13</v>
      </c>
      <c r="L38" s="6">
        <f t="shared" si="0"/>
        <v>0.12645995138436</v>
      </c>
      <c r="M38" s="65">
        <v>0.125</v>
      </c>
      <c r="N38" s="6">
        <f t="shared" si="1"/>
        <v>0.14499999999999999</v>
      </c>
    </row>
    <row r="39" spans="1:14" x14ac:dyDescent="0.35">
      <c r="A39" s="52" t="s">
        <v>289</v>
      </c>
      <c r="B39" s="52" t="s">
        <v>1072</v>
      </c>
      <c r="C39" s="52" t="s">
        <v>1073</v>
      </c>
      <c r="D39" s="52" t="s">
        <v>11</v>
      </c>
      <c r="E39" s="52" t="s">
        <v>1179</v>
      </c>
      <c r="F39" s="52" t="s">
        <v>1180</v>
      </c>
      <c r="G39" s="52" t="s">
        <v>1181</v>
      </c>
      <c r="H39" s="52">
        <v>2000000</v>
      </c>
      <c r="I39" s="52" t="s">
        <v>1182</v>
      </c>
      <c r="J39" s="52" t="s">
        <v>12</v>
      </c>
      <c r="K39" s="52" t="s">
        <v>13</v>
      </c>
      <c r="L39" s="6">
        <f t="shared" si="0"/>
        <v>0.13340133741357815</v>
      </c>
      <c r="M39" s="6">
        <v>0.13</v>
      </c>
      <c r="N39" s="6">
        <f t="shared" si="1"/>
        <v>0.15</v>
      </c>
    </row>
    <row r="40" spans="1:14" x14ac:dyDescent="0.35">
      <c r="A40" s="52" t="s">
        <v>289</v>
      </c>
      <c r="B40" s="52" t="s">
        <v>1072</v>
      </c>
      <c r="C40" s="52" t="s">
        <v>1073</v>
      </c>
      <c r="D40" s="52" t="s">
        <v>11</v>
      </c>
      <c r="E40" s="52" t="s">
        <v>1183</v>
      </c>
      <c r="F40" s="52" t="s">
        <v>1184</v>
      </c>
      <c r="G40" s="52" t="s">
        <v>1185</v>
      </c>
      <c r="H40" s="52">
        <v>5000000</v>
      </c>
      <c r="I40" s="52" t="s">
        <v>1186</v>
      </c>
      <c r="J40" s="52" t="s">
        <v>12</v>
      </c>
      <c r="K40" s="52" t="s">
        <v>13</v>
      </c>
      <c r="L40" s="6">
        <f t="shared" si="0"/>
        <v>0.13340133741357815</v>
      </c>
      <c r="M40" s="6">
        <v>0.13</v>
      </c>
      <c r="N40" s="6">
        <f t="shared" si="1"/>
        <v>0.15</v>
      </c>
    </row>
    <row r="41" spans="1:14" x14ac:dyDescent="0.35">
      <c r="A41" s="10" t="s">
        <v>289</v>
      </c>
      <c r="B41" s="10" t="s">
        <v>1072</v>
      </c>
      <c r="C41" s="10" t="s">
        <v>1073</v>
      </c>
      <c r="D41" s="10" t="s">
        <v>11</v>
      </c>
      <c r="E41" s="10" t="s">
        <v>1187</v>
      </c>
      <c r="F41" s="10" t="s">
        <v>1188</v>
      </c>
      <c r="G41" s="10" t="s">
        <v>1189</v>
      </c>
      <c r="H41" s="10">
        <v>10000000</v>
      </c>
      <c r="I41" s="10" t="s">
        <v>1190</v>
      </c>
      <c r="J41" s="10" t="s">
        <v>12</v>
      </c>
      <c r="K41" s="10" t="s">
        <v>13</v>
      </c>
      <c r="L41" s="6">
        <f t="shared" si="0"/>
        <v>0.13340133741357815</v>
      </c>
      <c r="M41" s="6">
        <v>0.13</v>
      </c>
      <c r="N41" s="6">
        <f t="shared" si="1"/>
        <v>0.15</v>
      </c>
    </row>
    <row r="42" spans="1:14" x14ac:dyDescent="0.35">
      <c r="A42" s="52" t="s">
        <v>289</v>
      </c>
      <c r="B42" s="52" t="s">
        <v>1072</v>
      </c>
      <c r="C42" s="52" t="s">
        <v>1073</v>
      </c>
      <c r="D42" s="52" t="s">
        <v>11</v>
      </c>
      <c r="E42" s="52" t="s">
        <v>1078</v>
      </c>
      <c r="F42" s="52" t="s">
        <v>1191</v>
      </c>
      <c r="G42" s="52" t="s">
        <v>1080</v>
      </c>
      <c r="H42" s="52">
        <v>10000</v>
      </c>
      <c r="I42" s="52" t="s">
        <v>1192</v>
      </c>
      <c r="J42" s="52" t="s">
        <v>12</v>
      </c>
      <c r="K42" s="52" t="s">
        <v>13</v>
      </c>
      <c r="L42" s="6">
        <f t="shared" si="0"/>
        <v>9.5170298981491624E-2</v>
      </c>
      <c r="M42" s="6">
        <v>9.5000000000000001E-2</v>
      </c>
      <c r="N42" s="6">
        <f t="shared" si="1"/>
        <v>0.115</v>
      </c>
    </row>
    <row r="43" spans="1:14" x14ac:dyDescent="0.35">
      <c r="A43" s="10" t="s">
        <v>289</v>
      </c>
      <c r="B43" s="10" t="s">
        <v>1072</v>
      </c>
      <c r="C43" s="10" t="s">
        <v>1073</v>
      </c>
      <c r="D43" s="10" t="s">
        <v>11</v>
      </c>
      <c r="E43" s="10" t="s">
        <v>1089</v>
      </c>
      <c r="F43" s="10" t="s">
        <v>1193</v>
      </c>
      <c r="G43" s="10" t="s">
        <v>1091</v>
      </c>
      <c r="H43" s="10">
        <v>20000</v>
      </c>
      <c r="I43" s="10" t="s">
        <v>1194</v>
      </c>
      <c r="J43" s="10" t="s">
        <v>12</v>
      </c>
      <c r="K43" s="10" t="s">
        <v>13</v>
      </c>
      <c r="L43" s="6">
        <f t="shared" si="0"/>
        <v>9.5170298981491624E-2</v>
      </c>
      <c r="M43" s="6">
        <v>9.5000000000000001E-2</v>
      </c>
      <c r="N43" s="6">
        <f t="shared" si="1"/>
        <v>0.115</v>
      </c>
    </row>
    <row r="44" spans="1:14" x14ac:dyDescent="0.35">
      <c r="A44" s="52" t="s">
        <v>289</v>
      </c>
      <c r="B44" s="52" t="s">
        <v>1072</v>
      </c>
      <c r="C44" s="52" t="s">
        <v>1073</v>
      </c>
      <c r="D44" s="52" t="s">
        <v>11</v>
      </c>
      <c r="E44" s="52" t="s">
        <v>1100</v>
      </c>
      <c r="F44" s="52" t="s">
        <v>1195</v>
      </c>
      <c r="G44" s="52" t="s">
        <v>1102</v>
      </c>
      <c r="H44" s="52">
        <v>50000</v>
      </c>
      <c r="I44" s="52" t="s">
        <v>1196</v>
      </c>
      <c r="J44" s="52" t="s">
        <v>12</v>
      </c>
      <c r="K44" s="52" t="s">
        <v>13</v>
      </c>
      <c r="L44" s="6">
        <f t="shared" si="0"/>
        <v>9.5170298981491624E-2</v>
      </c>
      <c r="M44" s="6">
        <v>9.5000000000000001E-2</v>
      </c>
      <c r="N44" s="6">
        <f t="shared" si="1"/>
        <v>0.115</v>
      </c>
    </row>
    <row r="45" spans="1:14" x14ac:dyDescent="0.35">
      <c r="A45" s="10" t="s">
        <v>289</v>
      </c>
      <c r="B45" s="10" t="s">
        <v>1072</v>
      </c>
      <c r="C45" s="10" t="s">
        <v>1073</v>
      </c>
      <c r="D45" s="10" t="s">
        <v>11</v>
      </c>
      <c r="E45" s="10" t="s">
        <v>1111</v>
      </c>
      <c r="F45" s="10" t="s">
        <v>1197</v>
      </c>
      <c r="G45" s="10" t="s">
        <v>1113</v>
      </c>
      <c r="H45" s="10">
        <v>100000</v>
      </c>
      <c r="I45" s="10" t="s">
        <v>1198</v>
      </c>
      <c r="J45" s="10" t="s">
        <v>12</v>
      </c>
      <c r="K45" s="10" t="s">
        <v>13</v>
      </c>
      <c r="L45" s="6">
        <f t="shared" si="0"/>
        <v>9.5182293092685277E-2</v>
      </c>
      <c r="M45" s="6">
        <v>9.5000000000000001E-2</v>
      </c>
      <c r="N45" s="6">
        <f t="shared" si="1"/>
        <v>0.115</v>
      </c>
    </row>
    <row r="46" spans="1:14" x14ac:dyDescent="0.35">
      <c r="A46" s="10" t="s">
        <v>289</v>
      </c>
      <c r="B46" s="10" t="s">
        <v>1072</v>
      </c>
      <c r="C46" s="10" t="s">
        <v>1073</v>
      </c>
      <c r="D46" s="10" t="s">
        <v>11</v>
      </c>
      <c r="E46" s="10" t="s">
        <v>1133</v>
      </c>
      <c r="F46" s="10" t="s">
        <v>1199</v>
      </c>
      <c r="G46" s="10" t="s">
        <v>1135</v>
      </c>
      <c r="H46" s="10">
        <v>200000</v>
      </c>
      <c r="I46" s="10" t="s">
        <v>1200</v>
      </c>
      <c r="J46" s="10" t="s">
        <v>12</v>
      </c>
      <c r="K46" s="10" t="s">
        <v>13</v>
      </c>
      <c r="L46" s="6">
        <f t="shared" si="0"/>
        <v>9.5182293092685277E-2</v>
      </c>
      <c r="M46" s="6">
        <v>9.5000000000000001E-2</v>
      </c>
      <c r="N46" s="6">
        <f t="shared" si="1"/>
        <v>0.115</v>
      </c>
    </row>
    <row r="47" spans="1:14" x14ac:dyDescent="0.35">
      <c r="A47" s="52" t="s">
        <v>289</v>
      </c>
      <c r="B47" s="52" t="s">
        <v>1072</v>
      </c>
      <c r="C47" s="52" t="s">
        <v>1073</v>
      </c>
      <c r="D47" s="52" t="s">
        <v>11</v>
      </c>
      <c r="E47" s="52" t="s">
        <v>1139</v>
      </c>
      <c r="F47" s="52" t="s">
        <v>1201</v>
      </c>
      <c r="G47" s="52" t="s">
        <v>1141</v>
      </c>
      <c r="H47" s="52">
        <v>300000</v>
      </c>
      <c r="I47" s="52" t="s">
        <v>1202</v>
      </c>
      <c r="J47" s="52" t="s">
        <v>12</v>
      </c>
      <c r="K47" s="52" t="s">
        <v>13</v>
      </c>
      <c r="L47" s="6">
        <f t="shared" si="0"/>
        <v>9.5182293092685277E-2</v>
      </c>
      <c r="M47" s="6">
        <v>9.5000000000000001E-2</v>
      </c>
      <c r="N47" s="6">
        <f t="shared" si="1"/>
        <v>0.115</v>
      </c>
    </row>
    <row r="48" spans="1:14" x14ac:dyDescent="0.35">
      <c r="A48" s="52" t="s">
        <v>289</v>
      </c>
      <c r="B48" s="52" t="s">
        <v>1072</v>
      </c>
      <c r="C48" s="52" t="s">
        <v>1073</v>
      </c>
      <c r="D48" s="52" t="s">
        <v>11</v>
      </c>
      <c r="E48" s="52" t="s">
        <v>1156</v>
      </c>
      <c r="F48" s="52" t="s">
        <v>1203</v>
      </c>
      <c r="G48" s="52" t="s">
        <v>1158</v>
      </c>
      <c r="H48" s="52">
        <v>500000</v>
      </c>
      <c r="I48" s="52" t="s">
        <v>1204</v>
      </c>
      <c r="J48" s="52" t="s">
        <v>12</v>
      </c>
      <c r="K48" s="52" t="s">
        <v>13</v>
      </c>
      <c r="L48" s="6">
        <f t="shared" si="0"/>
        <v>9.5182293092685277E-2</v>
      </c>
      <c r="M48" s="6">
        <v>9.5000000000000001E-2</v>
      </c>
      <c r="N48" s="6">
        <f t="shared" si="1"/>
        <v>0.115</v>
      </c>
    </row>
    <row r="49" spans="1:14" x14ac:dyDescent="0.35">
      <c r="A49" s="52" t="s">
        <v>289</v>
      </c>
      <c r="B49" s="52" t="s">
        <v>1072</v>
      </c>
      <c r="C49" s="52" t="s">
        <v>1073</v>
      </c>
      <c r="D49" s="52" t="s">
        <v>11</v>
      </c>
      <c r="E49" s="52" t="s">
        <v>1173</v>
      </c>
      <c r="F49" s="52" t="s">
        <v>1205</v>
      </c>
      <c r="G49" s="52" t="s">
        <v>1175</v>
      </c>
      <c r="H49" s="52">
        <v>1000000</v>
      </c>
      <c r="I49" s="52" t="s">
        <v>1206</v>
      </c>
      <c r="J49" s="52" t="s">
        <v>12</v>
      </c>
      <c r="K49" s="52" t="s">
        <v>13</v>
      </c>
      <c r="L49" s="6">
        <f t="shared" si="0"/>
        <v>9.5181093669743755E-2</v>
      </c>
      <c r="M49" s="6">
        <v>9.5000000000000001E-2</v>
      </c>
      <c r="N49" s="6">
        <f t="shared" si="1"/>
        <v>0.115</v>
      </c>
    </row>
    <row r="50" spans="1:14" x14ac:dyDescent="0.35">
      <c r="A50" s="10" t="s">
        <v>16</v>
      </c>
      <c r="B50" s="10" t="s">
        <v>1207</v>
      </c>
      <c r="C50" s="10" t="s">
        <v>1208</v>
      </c>
      <c r="D50" s="10" t="s">
        <v>467</v>
      </c>
      <c r="E50" s="10" t="s">
        <v>1209</v>
      </c>
      <c r="F50" s="10" t="s">
        <v>1210</v>
      </c>
      <c r="G50" s="10" t="s">
        <v>1211</v>
      </c>
      <c r="H50" s="52">
        <v>24000</v>
      </c>
      <c r="I50" s="10" t="s">
        <v>1212</v>
      </c>
      <c r="J50" s="10" t="s">
        <v>12</v>
      </c>
      <c r="K50" s="10" t="s">
        <v>13</v>
      </c>
      <c r="L50" s="6">
        <f t="shared" si="0"/>
        <v>0.11679851093531875</v>
      </c>
      <c r="M50" s="6">
        <v>0.115</v>
      </c>
      <c r="N50" s="6">
        <f t="shared" si="1"/>
        <v>0.13500000000000001</v>
      </c>
    </row>
    <row r="51" spans="1:14" x14ac:dyDescent="0.35">
      <c r="A51" s="52" t="s">
        <v>16</v>
      </c>
      <c r="B51" s="52" t="s">
        <v>1207</v>
      </c>
      <c r="C51" s="52" t="s">
        <v>1208</v>
      </c>
      <c r="D51" s="52" t="s">
        <v>467</v>
      </c>
      <c r="E51" s="52" t="s">
        <v>1213</v>
      </c>
      <c r="F51" s="52" t="s">
        <v>1214</v>
      </c>
      <c r="G51" s="52" t="s">
        <v>1215</v>
      </c>
      <c r="H51" s="52">
        <v>48500</v>
      </c>
      <c r="I51" s="52" t="s">
        <v>1216</v>
      </c>
      <c r="J51" s="52" t="s">
        <v>12</v>
      </c>
      <c r="K51" s="52" t="s">
        <v>13</v>
      </c>
      <c r="L51" s="6">
        <f t="shared" si="0"/>
        <v>0.12843182875756165</v>
      </c>
      <c r="M51" s="6">
        <v>0.1275</v>
      </c>
      <c r="N51" s="6">
        <f t="shared" si="1"/>
        <v>0.14749999999999999</v>
      </c>
    </row>
    <row r="52" spans="1:14" x14ac:dyDescent="0.35">
      <c r="A52" s="10" t="s">
        <v>16</v>
      </c>
      <c r="B52" s="10" t="s">
        <v>1207</v>
      </c>
      <c r="C52" s="10" t="s">
        <v>1208</v>
      </c>
      <c r="D52" s="10" t="s">
        <v>467</v>
      </c>
      <c r="E52" s="10" t="s">
        <v>1217</v>
      </c>
      <c r="F52" s="10" t="s">
        <v>1218</v>
      </c>
      <c r="G52" s="10" t="s">
        <v>1219</v>
      </c>
      <c r="H52" s="52">
        <v>97000</v>
      </c>
      <c r="I52" s="10" t="s">
        <v>1220</v>
      </c>
      <c r="J52" s="10" t="s">
        <v>12</v>
      </c>
      <c r="K52" s="10" t="s">
        <v>13</v>
      </c>
      <c r="L52" s="6">
        <f t="shared" si="0"/>
        <v>0.12841870150417051</v>
      </c>
      <c r="M52" s="6">
        <v>0.1275</v>
      </c>
      <c r="N52" s="6">
        <f t="shared" si="1"/>
        <v>0.14749999999999999</v>
      </c>
    </row>
    <row r="53" spans="1:14" x14ac:dyDescent="0.35">
      <c r="A53" s="52" t="s">
        <v>16</v>
      </c>
      <c r="B53" s="52" t="s">
        <v>1207</v>
      </c>
      <c r="C53" s="52" t="s">
        <v>1208</v>
      </c>
      <c r="D53" s="52" t="s">
        <v>467</v>
      </c>
      <c r="E53" s="52" t="s">
        <v>1221</v>
      </c>
      <c r="F53" s="52" t="s">
        <v>1222</v>
      </c>
      <c r="G53" s="52" t="s">
        <v>1223</v>
      </c>
      <c r="H53" s="52">
        <v>145000</v>
      </c>
      <c r="I53" s="52" t="s">
        <v>1224</v>
      </c>
      <c r="J53" s="52" t="s">
        <v>12</v>
      </c>
      <c r="K53" s="52" t="s">
        <v>13</v>
      </c>
      <c r="L53" s="6">
        <f t="shared" si="0"/>
        <v>0.12454533468795806</v>
      </c>
      <c r="M53" s="6">
        <v>0.125</v>
      </c>
      <c r="N53" s="6">
        <f t="shared" si="1"/>
        <v>0.14499999999999999</v>
      </c>
    </row>
    <row r="54" spans="1:14" x14ac:dyDescent="0.35">
      <c r="A54" s="10" t="s">
        <v>16</v>
      </c>
      <c r="B54" s="10" t="s">
        <v>1207</v>
      </c>
      <c r="C54" s="10" t="s">
        <v>1208</v>
      </c>
      <c r="D54" s="10" t="s">
        <v>467</v>
      </c>
      <c r="E54" s="10" t="s">
        <v>1225</v>
      </c>
      <c r="F54" s="10" t="s">
        <v>1226</v>
      </c>
      <c r="G54" s="10" t="s">
        <v>1227</v>
      </c>
      <c r="H54" s="52">
        <v>240000</v>
      </c>
      <c r="I54" s="10" t="s">
        <v>1228</v>
      </c>
      <c r="J54" s="10" t="s">
        <v>12</v>
      </c>
      <c r="K54" s="10" t="s">
        <v>13</v>
      </c>
      <c r="L54" s="6">
        <f t="shared" si="0"/>
        <v>0.11678811737443114</v>
      </c>
      <c r="M54" s="6">
        <v>0.115</v>
      </c>
      <c r="N54" s="6">
        <f t="shared" si="1"/>
        <v>0.13500000000000001</v>
      </c>
    </row>
    <row r="55" spans="1:14" x14ac:dyDescent="0.35">
      <c r="A55" s="52" t="s">
        <v>16</v>
      </c>
      <c r="B55" s="52" t="s">
        <v>1207</v>
      </c>
      <c r="C55" s="52" t="s">
        <v>1208</v>
      </c>
      <c r="D55" s="52" t="s">
        <v>467</v>
      </c>
      <c r="E55" s="52" t="s">
        <v>1229</v>
      </c>
      <c r="F55" s="52" t="s">
        <v>1230</v>
      </c>
      <c r="G55" s="52" t="s">
        <v>1231</v>
      </c>
      <c r="H55" s="52">
        <v>480000</v>
      </c>
      <c r="I55" s="52" t="s">
        <v>1232</v>
      </c>
      <c r="J55" s="52" t="s">
        <v>12</v>
      </c>
      <c r="K55" s="52" t="s">
        <v>13</v>
      </c>
      <c r="L55" s="6">
        <f t="shared" si="0"/>
        <v>0.11678811737443114</v>
      </c>
      <c r="M55" s="6">
        <v>0.115</v>
      </c>
      <c r="N55" s="6">
        <f t="shared" si="1"/>
        <v>0.13500000000000001</v>
      </c>
    </row>
    <row r="56" spans="1:14" x14ac:dyDescent="0.35">
      <c r="A56" s="10" t="s">
        <v>16</v>
      </c>
      <c r="B56" s="10" t="s">
        <v>1207</v>
      </c>
      <c r="C56" s="10" t="s">
        <v>1208</v>
      </c>
      <c r="D56" s="10" t="s">
        <v>467</v>
      </c>
      <c r="E56" s="10" t="s">
        <v>1233</v>
      </c>
      <c r="F56" s="10" t="s">
        <v>1234</v>
      </c>
      <c r="G56" s="10" t="s">
        <v>1235</v>
      </c>
      <c r="H56" s="52">
        <v>965000</v>
      </c>
      <c r="I56" s="10" t="s">
        <v>1236</v>
      </c>
      <c r="J56" s="10" t="s">
        <v>12</v>
      </c>
      <c r="K56" s="10" t="s">
        <v>13</v>
      </c>
      <c r="L56" s="6">
        <f t="shared" si="0"/>
        <v>0.12260602810354033</v>
      </c>
      <c r="M56" s="6">
        <v>0.12</v>
      </c>
      <c r="N56" s="6">
        <f t="shared" si="1"/>
        <v>0.13999999999999999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E133-2FB8-4D51-80F2-070CB08ECBA7}">
  <dimension ref="A1:N150"/>
  <sheetViews>
    <sheetView topLeftCell="C1" workbookViewId="0">
      <selection activeCell="Q1" sqref="Q1"/>
    </sheetView>
  </sheetViews>
  <sheetFormatPr defaultRowHeight="14.5" x14ac:dyDescent="0.35"/>
  <cols>
    <col min="1" max="1" width="11.81640625" style="10" bestFit="1" customWidth="1"/>
    <col min="2" max="2" width="8.26953125" style="10" bestFit="1" customWidth="1"/>
    <col min="3" max="3" width="17.7265625" style="10" customWidth="1"/>
    <col min="4" max="4" width="9" style="10" bestFit="1" customWidth="1"/>
    <col min="5" max="5" width="18.453125" style="10" bestFit="1" customWidth="1"/>
    <col min="6" max="6" width="24.453125" style="10" bestFit="1" customWidth="1"/>
    <col min="7" max="7" width="26.1796875" style="10" customWidth="1"/>
    <col min="8" max="8" width="19.36328125" style="10" hidden="1" customWidth="1"/>
    <col min="9" max="9" width="8.7265625" style="10"/>
    <col min="10" max="12" width="0" style="10" hidden="1" customWidth="1"/>
    <col min="13" max="16384" width="8.7265625" style="10"/>
  </cols>
  <sheetData>
    <row r="1" spans="1:14" ht="72.5" x14ac:dyDescent="0.35">
      <c r="A1" s="50" t="s">
        <v>0</v>
      </c>
      <c r="B1" s="49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63" t="s">
        <v>615</v>
      </c>
      <c r="I1" s="49" t="s">
        <v>8</v>
      </c>
      <c r="J1" s="50" t="s">
        <v>9</v>
      </c>
      <c r="K1" s="50" t="s">
        <v>10</v>
      </c>
      <c r="L1" s="64" t="s">
        <v>283</v>
      </c>
      <c r="M1" s="51" t="s">
        <v>547</v>
      </c>
      <c r="N1" s="51" t="s">
        <v>548</v>
      </c>
    </row>
    <row r="2" spans="1:14" x14ac:dyDescent="0.35">
      <c r="A2" s="52" t="s">
        <v>14</v>
      </c>
      <c r="B2" s="52" t="s">
        <v>646</v>
      </c>
      <c r="C2" s="52" t="s">
        <v>647</v>
      </c>
      <c r="D2" s="52" t="s">
        <v>467</v>
      </c>
      <c r="E2" s="52" t="s">
        <v>648</v>
      </c>
      <c r="F2" s="52" t="s">
        <v>649</v>
      </c>
      <c r="G2" s="52" t="s">
        <v>650</v>
      </c>
      <c r="H2" s="52">
        <v>14800</v>
      </c>
      <c r="I2" s="52" t="s">
        <v>651</v>
      </c>
      <c r="J2" s="52" t="s">
        <v>12</v>
      </c>
      <c r="K2" s="52" t="s">
        <v>13</v>
      </c>
      <c r="L2" s="6">
        <f>(H2-I2)/I2</f>
        <v>5.5710107710963692E-2</v>
      </c>
      <c r="M2" s="6">
        <v>5.5E-2</v>
      </c>
      <c r="N2" s="6">
        <f>M2+2%</f>
        <v>7.4999999999999997E-2</v>
      </c>
    </row>
    <row r="3" spans="1:14" x14ac:dyDescent="0.35">
      <c r="A3" s="10" t="s">
        <v>18</v>
      </c>
      <c r="B3" s="10" t="s">
        <v>646</v>
      </c>
      <c r="C3" s="10" t="s">
        <v>647</v>
      </c>
      <c r="D3" s="10" t="s">
        <v>467</v>
      </c>
      <c r="E3" s="10" t="s">
        <v>652</v>
      </c>
      <c r="F3" s="10" t="s">
        <v>653</v>
      </c>
      <c r="G3" s="10" t="s">
        <v>654</v>
      </c>
      <c r="H3" s="52">
        <v>71500</v>
      </c>
      <c r="I3" s="10" t="s">
        <v>655</v>
      </c>
      <c r="J3" s="10" t="s">
        <v>12</v>
      </c>
      <c r="K3" s="10" t="s">
        <v>13</v>
      </c>
      <c r="L3" s="6">
        <f t="shared" ref="L3:L66" si="0">(H3-I3)/I3</f>
        <v>5.1424201873446762E-2</v>
      </c>
      <c r="M3" s="17">
        <v>0.05</v>
      </c>
      <c r="N3" s="6">
        <f t="shared" ref="N3:N66" si="1">M3+2%</f>
        <v>7.0000000000000007E-2</v>
      </c>
    </row>
    <row r="4" spans="1:14" x14ac:dyDescent="0.35">
      <c r="A4" s="52" t="s">
        <v>16</v>
      </c>
      <c r="B4" s="52" t="s">
        <v>646</v>
      </c>
      <c r="C4" s="52" t="s">
        <v>647</v>
      </c>
      <c r="D4" s="52" t="s">
        <v>467</v>
      </c>
      <c r="E4" s="52" t="s">
        <v>656</v>
      </c>
      <c r="F4" s="52" t="s">
        <v>657</v>
      </c>
      <c r="G4" s="52" t="s">
        <v>658</v>
      </c>
      <c r="H4" s="52">
        <v>36500</v>
      </c>
      <c r="I4" s="52" t="s">
        <v>659</v>
      </c>
      <c r="J4" s="52" t="s">
        <v>12</v>
      </c>
      <c r="K4" s="52" t="s">
        <v>13</v>
      </c>
      <c r="L4" s="6">
        <f t="shared" si="0"/>
        <v>5.9629565116414096E-2</v>
      </c>
      <c r="M4" s="17">
        <v>0.06</v>
      </c>
      <c r="N4" s="6">
        <f t="shared" si="1"/>
        <v>0.08</v>
      </c>
    </row>
    <row r="5" spans="1:14" x14ac:dyDescent="0.35">
      <c r="A5" s="10" t="s">
        <v>17</v>
      </c>
      <c r="B5" s="10" t="s">
        <v>646</v>
      </c>
      <c r="C5" s="10" t="s">
        <v>647</v>
      </c>
      <c r="D5" s="10" t="s">
        <v>467</v>
      </c>
      <c r="E5" s="10" t="s">
        <v>660</v>
      </c>
      <c r="F5" s="10" t="s">
        <v>661</v>
      </c>
      <c r="G5" s="10" t="s">
        <v>662</v>
      </c>
      <c r="H5" s="52">
        <v>56000</v>
      </c>
      <c r="I5" s="10" t="s">
        <v>663</v>
      </c>
      <c r="J5" s="10" t="s">
        <v>12</v>
      </c>
      <c r="K5" s="10" t="s">
        <v>13</v>
      </c>
      <c r="L5" s="6">
        <f t="shared" si="0"/>
        <v>5.4752980618913982E-2</v>
      </c>
      <c r="M5" s="6">
        <v>5.5E-2</v>
      </c>
      <c r="N5" s="6">
        <f t="shared" si="1"/>
        <v>7.4999999999999997E-2</v>
      </c>
    </row>
    <row r="6" spans="1:14" x14ac:dyDescent="0.35">
      <c r="A6" s="10" t="s">
        <v>16</v>
      </c>
      <c r="B6" s="10" t="s">
        <v>646</v>
      </c>
      <c r="C6" s="10" t="s">
        <v>647</v>
      </c>
      <c r="D6" s="10" t="s">
        <v>467</v>
      </c>
      <c r="E6" s="10" t="s">
        <v>664</v>
      </c>
      <c r="F6" s="10" t="s">
        <v>665</v>
      </c>
      <c r="G6" s="10" t="s">
        <v>666</v>
      </c>
      <c r="H6" s="52">
        <v>23000</v>
      </c>
      <c r="I6" s="10" t="s">
        <v>667</v>
      </c>
      <c r="J6" s="10" t="s">
        <v>12</v>
      </c>
      <c r="K6" s="10" t="s">
        <v>13</v>
      </c>
      <c r="L6" s="6">
        <f t="shared" si="0"/>
        <v>6.7186340014847815E-2</v>
      </c>
      <c r="M6" s="6">
        <v>6.7000000000000004E-2</v>
      </c>
      <c r="N6" s="6">
        <f t="shared" si="1"/>
        <v>8.7000000000000008E-2</v>
      </c>
    </row>
    <row r="7" spans="1:14" x14ac:dyDescent="0.35">
      <c r="A7" s="10" t="s">
        <v>668</v>
      </c>
      <c r="B7" s="10" t="s">
        <v>646</v>
      </c>
      <c r="C7" s="10" t="s">
        <v>647</v>
      </c>
      <c r="D7" s="10" t="s">
        <v>467</v>
      </c>
      <c r="E7" s="10" t="s">
        <v>669</v>
      </c>
      <c r="F7" s="10" t="s">
        <v>670</v>
      </c>
      <c r="G7" s="10" t="s">
        <v>671</v>
      </c>
      <c r="H7" s="52">
        <v>115000</v>
      </c>
      <c r="I7" s="10" t="s">
        <v>672</v>
      </c>
      <c r="J7" s="10" t="s">
        <v>12</v>
      </c>
      <c r="K7" s="10" t="s">
        <v>13</v>
      </c>
      <c r="L7" s="6">
        <f t="shared" si="0"/>
        <v>6.2404730010624049E-2</v>
      </c>
      <c r="M7" s="6">
        <v>6.25E-2</v>
      </c>
      <c r="N7" s="6">
        <f t="shared" si="1"/>
        <v>8.2500000000000004E-2</v>
      </c>
    </row>
    <row r="8" spans="1:14" x14ac:dyDescent="0.35">
      <c r="A8" s="52" t="s">
        <v>16</v>
      </c>
      <c r="B8" s="52" t="s">
        <v>646</v>
      </c>
      <c r="C8" s="52" t="s">
        <v>647</v>
      </c>
      <c r="D8" s="52" t="s">
        <v>467</v>
      </c>
      <c r="E8" s="52" t="s">
        <v>656</v>
      </c>
      <c r="F8" s="52" t="s">
        <v>673</v>
      </c>
      <c r="G8" s="52" t="s">
        <v>658</v>
      </c>
      <c r="H8" s="52">
        <v>38000</v>
      </c>
      <c r="I8" s="52" t="s">
        <v>674</v>
      </c>
      <c r="J8" s="52" t="s">
        <v>12</v>
      </c>
      <c r="K8" s="52" t="s">
        <v>13</v>
      </c>
      <c r="L8" s="6">
        <f t="shared" si="0"/>
        <v>5.1059357194224705E-2</v>
      </c>
      <c r="M8" s="17">
        <v>0.05</v>
      </c>
      <c r="N8" s="6">
        <f t="shared" si="1"/>
        <v>7.0000000000000007E-2</v>
      </c>
    </row>
    <row r="9" spans="1:14" x14ac:dyDescent="0.35">
      <c r="A9" s="10" t="s">
        <v>16</v>
      </c>
      <c r="B9" s="10" t="s">
        <v>646</v>
      </c>
      <c r="C9" s="10" t="s">
        <v>647</v>
      </c>
      <c r="D9" s="10" t="s">
        <v>467</v>
      </c>
      <c r="E9" s="10" t="s">
        <v>675</v>
      </c>
      <c r="F9" s="10" t="s">
        <v>676</v>
      </c>
      <c r="G9" s="10" t="s">
        <v>677</v>
      </c>
      <c r="H9" s="52">
        <v>45500</v>
      </c>
      <c r="I9" s="10" t="s">
        <v>678</v>
      </c>
      <c r="J9" s="10" t="s">
        <v>12</v>
      </c>
      <c r="K9" s="10" t="s">
        <v>13</v>
      </c>
      <c r="L9" s="6">
        <f t="shared" si="0"/>
        <v>5.558648849294729E-2</v>
      </c>
      <c r="M9" s="6">
        <v>5.5E-2</v>
      </c>
      <c r="N9" s="6">
        <f t="shared" si="1"/>
        <v>7.4999999999999997E-2</v>
      </c>
    </row>
    <row r="10" spans="1:14" x14ac:dyDescent="0.35">
      <c r="A10" s="52" t="s">
        <v>16</v>
      </c>
      <c r="B10" s="52" t="s">
        <v>646</v>
      </c>
      <c r="C10" s="52" t="s">
        <v>647</v>
      </c>
      <c r="D10" s="52" t="s">
        <v>467</v>
      </c>
      <c r="E10" s="52" t="s">
        <v>675</v>
      </c>
      <c r="F10" s="52" t="s">
        <v>679</v>
      </c>
      <c r="G10" s="52" t="s">
        <v>677</v>
      </c>
      <c r="H10" s="52">
        <v>47500</v>
      </c>
      <c r="I10" s="52" t="s">
        <v>680</v>
      </c>
      <c r="J10" s="52" t="s">
        <v>12</v>
      </c>
      <c r="K10" s="52" t="s">
        <v>13</v>
      </c>
      <c r="L10" s="6">
        <f t="shared" si="0"/>
        <v>5.0280811922345556E-2</v>
      </c>
      <c r="M10" s="17">
        <v>0.05</v>
      </c>
      <c r="N10" s="6">
        <f t="shared" si="1"/>
        <v>7.0000000000000007E-2</v>
      </c>
    </row>
    <row r="11" spans="1:14" x14ac:dyDescent="0.35">
      <c r="A11" s="10" t="s">
        <v>18</v>
      </c>
      <c r="B11" s="10" t="s">
        <v>646</v>
      </c>
      <c r="C11" s="10" t="s">
        <v>647</v>
      </c>
      <c r="D11" s="10" t="s">
        <v>467</v>
      </c>
      <c r="E11" s="10" t="s">
        <v>681</v>
      </c>
      <c r="F11" s="10" t="s">
        <v>682</v>
      </c>
      <c r="G11" s="10" t="s">
        <v>683</v>
      </c>
      <c r="H11" s="52">
        <v>142500</v>
      </c>
      <c r="I11" s="10" t="s">
        <v>684</v>
      </c>
      <c r="J11" s="10" t="s">
        <v>12</v>
      </c>
      <c r="K11" s="10" t="s">
        <v>13</v>
      </c>
      <c r="L11" s="6">
        <f t="shared" si="0"/>
        <v>4.960777814606121E-2</v>
      </c>
      <c r="M11" s="6">
        <v>0.05</v>
      </c>
      <c r="N11" s="6">
        <f t="shared" si="1"/>
        <v>7.0000000000000007E-2</v>
      </c>
    </row>
    <row r="12" spans="1:14" x14ac:dyDescent="0.35">
      <c r="A12" s="10" t="s">
        <v>668</v>
      </c>
      <c r="B12" s="10" t="s">
        <v>646</v>
      </c>
      <c r="C12" s="10" t="s">
        <v>647</v>
      </c>
      <c r="D12" s="10" t="s">
        <v>467</v>
      </c>
      <c r="E12" s="10" t="s">
        <v>685</v>
      </c>
      <c r="F12" s="10" t="s">
        <v>686</v>
      </c>
      <c r="G12" s="10" t="s">
        <v>687</v>
      </c>
      <c r="H12" s="52">
        <v>225000</v>
      </c>
      <c r="I12" s="10" t="s">
        <v>688</v>
      </c>
      <c r="J12" s="10" t="s">
        <v>12</v>
      </c>
      <c r="K12" s="10" t="s">
        <v>13</v>
      </c>
      <c r="L12" s="6">
        <f t="shared" si="0"/>
        <v>5.5272846657130129E-2</v>
      </c>
      <c r="M12" s="6">
        <v>5.5E-2</v>
      </c>
      <c r="N12" s="6">
        <f t="shared" si="1"/>
        <v>7.4999999999999997E-2</v>
      </c>
    </row>
    <row r="13" spans="1:14" x14ac:dyDescent="0.35">
      <c r="A13" s="10" t="s">
        <v>16</v>
      </c>
      <c r="B13" s="10" t="s">
        <v>646</v>
      </c>
      <c r="C13" s="10" t="s">
        <v>647</v>
      </c>
      <c r="D13" s="10" t="s">
        <v>467</v>
      </c>
      <c r="E13" s="10" t="s">
        <v>689</v>
      </c>
      <c r="F13" s="10" t="s">
        <v>690</v>
      </c>
      <c r="G13" s="10" t="s">
        <v>691</v>
      </c>
      <c r="H13" s="52">
        <v>73000</v>
      </c>
      <c r="I13" s="10" t="s">
        <v>692</v>
      </c>
      <c r="J13" s="10" t="s">
        <v>12</v>
      </c>
      <c r="K13" s="10" t="s">
        <v>13</v>
      </c>
      <c r="L13" s="6">
        <f t="shared" si="0"/>
        <v>5.5874567886949104E-2</v>
      </c>
      <c r="M13" s="6">
        <v>5.5E-2</v>
      </c>
      <c r="N13" s="6">
        <f t="shared" si="1"/>
        <v>7.4999999999999997E-2</v>
      </c>
    </row>
    <row r="14" spans="1:14" x14ac:dyDescent="0.35">
      <c r="A14" s="52" t="s">
        <v>16</v>
      </c>
      <c r="B14" s="52" t="s">
        <v>646</v>
      </c>
      <c r="C14" s="52" t="s">
        <v>647</v>
      </c>
      <c r="D14" s="52" t="s">
        <v>467</v>
      </c>
      <c r="E14" s="52" t="s">
        <v>693</v>
      </c>
      <c r="F14" s="52" t="s">
        <v>694</v>
      </c>
      <c r="G14" s="52" t="s">
        <v>695</v>
      </c>
      <c r="H14" s="52">
        <v>95000</v>
      </c>
      <c r="I14" s="52" t="s">
        <v>696</v>
      </c>
      <c r="J14" s="52" t="s">
        <v>12</v>
      </c>
      <c r="K14" s="52" t="s">
        <v>13</v>
      </c>
      <c r="L14" s="6">
        <f t="shared" si="0"/>
        <v>5.079196531280418E-2</v>
      </c>
      <c r="M14" s="17">
        <v>0.05</v>
      </c>
      <c r="N14" s="6">
        <f t="shared" si="1"/>
        <v>7.0000000000000007E-2</v>
      </c>
    </row>
    <row r="15" spans="1:14" x14ac:dyDescent="0.35">
      <c r="A15" s="10" t="s">
        <v>18</v>
      </c>
      <c r="B15" s="10" t="s">
        <v>646</v>
      </c>
      <c r="C15" s="10" t="s">
        <v>647</v>
      </c>
      <c r="D15" s="10" t="s">
        <v>467</v>
      </c>
      <c r="E15" s="10" t="s">
        <v>697</v>
      </c>
      <c r="F15" s="10" t="s">
        <v>698</v>
      </c>
      <c r="G15" s="10" t="s">
        <v>699</v>
      </c>
      <c r="H15" s="52">
        <v>286000</v>
      </c>
      <c r="I15" s="10" t="s">
        <v>700</v>
      </c>
      <c r="J15" s="10" t="s">
        <v>12</v>
      </c>
      <c r="K15" s="10" t="s">
        <v>13</v>
      </c>
      <c r="L15" s="6">
        <f t="shared" si="0"/>
        <v>5.142806724728044E-2</v>
      </c>
      <c r="M15" s="6">
        <v>0.05</v>
      </c>
      <c r="N15" s="6">
        <f t="shared" si="1"/>
        <v>7.0000000000000007E-2</v>
      </c>
    </row>
    <row r="16" spans="1:14" x14ac:dyDescent="0.35">
      <c r="A16" s="52" t="s">
        <v>16</v>
      </c>
      <c r="B16" s="52" t="s">
        <v>646</v>
      </c>
      <c r="C16" s="52" t="s">
        <v>647</v>
      </c>
      <c r="D16" s="52" t="s">
        <v>467</v>
      </c>
      <c r="E16" s="52" t="s">
        <v>693</v>
      </c>
      <c r="F16" s="52" t="s">
        <v>701</v>
      </c>
      <c r="G16" s="52" t="s">
        <v>695</v>
      </c>
      <c r="H16" s="52">
        <v>92000</v>
      </c>
      <c r="I16" s="52" t="s">
        <v>702</v>
      </c>
      <c r="J16" s="52" t="s">
        <v>12</v>
      </c>
      <c r="K16" s="52" t="s">
        <v>13</v>
      </c>
      <c r="L16" s="6">
        <f t="shared" si="0"/>
        <v>4.9725017685584537E-2</v>
      </c>
      <c r="M16" s="6">
        <v>0.05</v>
      </c>
      <c r="N16" s="6">
        <f t="shared" si="1"/>
        <v>7.0000000000000007E-2</v>
      </c>
    </row>
    <row r="17" spans="1:14" x14ac:dyDescent="0.35">
      <c r="A17" s="10" t="s">
        <v>551</v>
      </c>
      <c r="B17" s="10" t="s">
        <v>646</v>
      </c>
      <c r="C17" s="10" t="s">
        <v>647</v>
      </c>
      <c r="D17" s="10" t="s">
        <v>467</v>
      </c>
      <c r="E17" s="10" t="s">
        <v>703</v>
      </c>
      <c r="F17" s="10" t="s">
        <v>704</v>
      </c>
      <c r="G17" s="10" t="s">
        <v>705</v>
      </c>
      <c r="H17" s="52">
        <v>390000</v>
      </c>
      <c r="I17" s="10" t="s">
        <v>706</v>
      </c>
      <c r="J17" s="10" t="s">
        <v>12</v>
      </c>
      <c r="K17" s="10" t="s">
        <v>13</v>
      </c>
      <c r="L17" s="6">
        <f t="shared" si="0"/>
        <v>4.7657679196473422E-2</v>
      </c>
      <c r="M17" s="6">
        <v>0.05</v>
      </c>
      <c r="N17" s="6">
        <f t="shared" si="1"/>
        <v>7.0000000000000007E-2</v>
      </c>
    </row>
    <row r="18" spans="1:14" x14ac:dyDescent="0.35">
      <c r="A18" s="52" t="s">
        <v>551</v>
      </c>
      <c r="B18" s="52" t="s">
        <v>646</v>
      </c>
      <c r="C18" s="52" t="s">
        <v>647</v>
      </c>
      <c r="D18" s="52" t="s">
        <v>467</v>
      </c>
      <c r="E18" s="52" t="s">
        <v>703</v>
      </c>
      <c r="F18" s="52" t="s">
        <v>707</v>
      </c>
      <c r="G18" s="52" t="s">
        <v>705</v>
      </c>
      <c r="H18" s="52">
        <v>400000</v>
      </c>
      <c r="I18" s="52" t="s">
        <v>708</v>
      </c>
      <c r="J18" s="52" t="s">
        <v>12</v>
      </c>
      <c r="K18" s="52" t="s">
        <v>13</v>
      </c>
      <c r="L18" s="6">
        <f t="shared" si="0"/>
        <v>4.7010784211077371E-2</v>
      </c>
      <c r="M18" s="6">
        <v>0.05</v>
      </c>
      <c r="N18" s="6">
        <f t="shared" si="1"/>
        <v>7.0000000000000007E-2</v>
      </c>
    </row>
    <row r="19" spans="1:14" x14ac:dyDescent="0.35">
      <c r="A19" s="52" t="s">
        <v>289</v>
      </c>
      <c r="B19" s="52" t="s">
        <v>646</v>
      </c>
      <c r="C19" s="52" t="s">
        <v>647</v>
      </c>
      <c r="D19" s="52" t="s">
        <v>467</v>
      </c>
      <c r="E19" s="52" t="s">
        <v>709</v>
      </c>
      <c r="F19" s="52" t="s">
        <v>710</v>
      </c>
      <c r="G19" s="52" t="s">
        <v>711</v>
      </c>
      <c r="H19" s="52">
        <v>450000</v>
      </c>
      <c r="I19" s="52" t="s">
        <v>712</v>
      </c>
      <c r="J19" s="52" t="s">
        <v>12</v>
      </c>
      <c r="K19" s="52" t="s">
        <v>13</v>
      </c>
      <c r="L19" s="6">
        <f t="shared" si="0"/>
        <v>5.8915717368335598E-2</v>
      </c>
      <c r="M19" s="6">
        <v>0.06</v>
      </c>
      <c r="N19" s="6">
        <f t="shared" si="1"/>
        <v>0.08</v>
      </c>
    </row>
    <row r="20" spans="1:14" x14ac:dyDescent="0.35">
      <c r="A20" s="10" t="s">
        <v>668</v>
      </c>
      <c r="B20" s="10" t="s">
        <v>646</v>
      </c>
      <c r="C20" s="10" t="s">
        <v>647</v>
      </c>
      <c r="D20" s="10" t="s">
        <v>467</v>
      </c>
      <c r="E20" s="10" t="s">
        <v>709</v>
      </c>
      <c r="F20" s="10" t="s">
        <v>713</v>
      </c>
      <c r="G20" s="10" t="s">
        <v>711</v>
      </c>
      <c r="H20" s="52">
        <v>450000</v>
      </c>
      <c r="I20" s="10" t="s">
        <v>712</v>
      </c>
      <c r="J20" s="10" t="s">
        <v>12</v>
      </c>
      <c r="K20" s="10" t="s">
        <v>13</v>
      </c>
      <c r="L20" s="6">
        <f t="shared" si="0"/>
        <v>5.8915717368335598E-2</v>
      </c>
      <c r="M20" s="6">
        <v>0.06</v>
      </c>
      <c r="N20" s="6">
        <f t="shared" si="1"/>
        <v>0.08</v>
      </c>
    </row>
    <row r="21" spans="1:14" x14ac:dyDescent="0.35">
      <c r="A21" s="52" t="s">
        <v>16</v>
      </c>
      <c r="B21" s="52" t="s">
        <v>646</v>
      </c>
      <c r="C21" s="52" t="s">
        <v>647</v>
      </c>
      <c r="D21" s="52" t="s">
        <v>467</v>
      </c>
      <c r="E21" s="52" t="s">
        <v>714</v>
      </c>
      <c r="F21" s="52" t="s">
        <v>715</v>
      </c>
      <c r="G21" s="52" t="s">
        <v>716</v>
      </c>
      <c r="H21" s="52">
        <v>109000</v>
      </c>
      <c r="I21" s="52" t="s">
        <v>717</v>
      </c>
      <c r="J21" s="52" t="s">
        <v>12</v>
      </c>
      <c r="K21" s="52" t="s">
        <v>13</v>
      </c>
      <c r="L21" s="6">
        <f t="shared" si="0"/>
        <v>5.1048155362274118E-2</v>
      </c>
      <c r="M21" s="6">
        <v>0.05</v>
      </c>
      <c r="N21" s="6">
        <f t="shared" si="1"/>
        <v>7.0000000000000007E-2</v>
      </c>
    </row>
    <row r="22" spans="1:14" x14ac:dyDescent="0.35">
      <c r="A22" s="52" t="s">
        <v>551</v>
      </c>
      <c r="B22" s="52" t="s">
        <v>646</v>
      </c>
      <c r="C22" s="52" t="s">
        <v>647</v>
      </c>
      <c r="D22" s="52" t="s">
        <v>467</v>
      </c>
      <c r="E22" s="52" t="s">
        <v>718</v>
      </c>
      <c r="F22" s="52" t="s">
        <v>719</v>
      </c>
      <c r="G22" s="52" t="s">
        <v>720</v>
      </c>
      <c r="H22" s="52">
        <v>500000</v>
      </c>
      <c r="I22" s="52" t="s">
        <v>721</v>
      </c>
      <c r="J22" s="52" t="s">
        <v>12</v>
      </c>
      <c r="K22" s="52" t="s">
        <v>13</v>
      </c>
      <c r="L22" s="6">
        <f t="shared" si="0"/>
        <v>4.7010784211077371E-2</v>
      </c>
      <c r="M22" s="6">
        <v>0.05</v>
      </c>
      <c r="N22" s="6">
        <f t="shared" si="1"/>
        <v>7.0000000000000007E-2</v>
      </c>
    </row>
    <row r="23" spans="1:14" x14ac:dyDescent="0.35">
      <c r="A23" s="52" t="s">
        <v>668</v>
      </c>
      <c r="B23" s="52" t="s">
        <v>646</v>
      </c>
      <c r="C23" s="52" t="s">
        <v>647</v>
      </c>
      <c r="D23" s="52" t="s">
        <v>467</v>
      </c>
      <c r="E23" s="52" t="s">
        <v>722</v>
      </c>
      <c r="F23" s="52" t="s">
        <v>723</v>
      </c>
      <c r="G23" s="52" t="s">
        <v>724</v>
      </c>
      <c r="H23" s="52">
        <v>670000</v>
      </c>
      <c r="I23" s="52" t="s">
        <v>725</v>
      </c>
      <c r="J23" s="52" t="s">
        <v>12</v>
      </c>
      <c r="K23" s="52" t="s">
        <v>13</v>
      </c>
      <c r="L23" s="6">
        <f t="shared" si="0"/>
        <v>4.7755769693898935E-2</v>
      </c>
      <c r="M23" s="6">
        <v>0.05</v>
      </c>
      <c r="N23" s="6">
        <f t="shared" si="1"/>
        <v>7.0000000000000007E-2</v>
      </c>
    </row>
    <row r="24" spans="1:14" x14ac:dyDescent="0.35">
      <c r="A24" s="10" t="s">
        <v>551</v>
      </c>
      <c r="B24" s="10" t="s">
        <v>646</v>
      </c>
      <c r="C24" s="10" t="s">
        <v>647</v>
      </c>
      <c r="D24" s="10" t="s">
        <v>467</v>
      </c>
      <c r="E24" s="10" t="s">
        <v>726</v>
      </c>
      <c r="F24" s="10" t="s">
        <v>727</v>
      </c>
      <c r="G24" s="10" t="s">
        <v>728</v>
      </c>
      <c r="H24" s="52">
        <v>565000</v>
      </c>
      <c r="I24" s="10" t="s">
        <v>729</v>
      </c>
      <c r="J24" s="10" t="s">
        <v>12</v>
      </c>
      <c r="K24" s="10" t="s">
        <v>13</v>
      </c>
      <c r="L24" s="6">
        <f t="shared" si="0"/>
        <v>4.9008176693823291E-2</v>
      </c>
      <c r="M24" s="6">
        <v>0.05</v>
      </c>
      <c r="N24" s="6">
        <f t="shared" si="1"/>
        <v>7.0000000000000007E-2</v>
      </c>
    </row>
    <row r="25" spans="1:14" x14ac:dyDescent="0.35">
      <c r="A25" s="10" t="s">
        <v>18</v>
      </c>
      <c r="B25" s="10" t="s">
        <v>646</v>
      </c>
      <c r="C25" s="10" t="s">
        <v>647</v>
      </c>
      <c r="D25" s="10" t="s">
        <v>467</v>
      </c>
      <c r="E25" s="10" t="s">
        <v>730</v>
      </c>
      <c r="F25" s="10" t="s">
        <v>731</v>
      </c>
      <c r="G25" s="10" t="s">
        <v>732</v>
      </c>
      <c r="H25" s="52">
        <v>430000</v>
      </c>
      <c r="I25" s="10" t="s">
        <v>733</v>
      </c>
      <c r="J25" s="10" t="s">
        <v>12</v>
      </c>
      <c r="K25" s="10" t="s">
        <v>13</v>
      </c>
      <c r="L25" s="6">
        <f t="shared" si="0"/>
        <v>5.3877657058406879E-2</v>
      </c>
      <c r="M25" s="6">
        <v>0.05</v>
      </c>
      <c r="N25" s="6">
        <f t="shared" si="1"/>
        <v>7.0000000000000007E-2</v>
      </c>
    </row>
    <row r="26" spans="1:14" x14ac:dyDescent="0.35">
      <c r="A26" s="52" t="s">
        <v>289</v>
      </c>
      <c r="B26" s="52" t="s">
        <v>646</v>
      </c>
      <c r="C26" s="52" t="s">
        <v>647</v>
      </c>
      <c r="D26" s="52" t="s">
        <v>467</v>
      </c>
      <c r="E26" s="52" t="s">
        <v>722</v>
      </c>
      <c r="F26" s="52" t="s">
        <v>734</v>
      </c>
      <c r="G26" s="52" t="s">
        <v>724</v>
      </c>
      <c r="H26" s="52">
        <v>670000</v>
      </c>
      <c r="I26" s="52" t="s">
        <v>735</v>
      </c>
      <c r="J26" s="52" t="s">
        <v>12</v>
      </c>
      <c r="K26" s="52" t="s">
        <v>13</v>
      </c>
      <c r="L26" s="6">
        <f t="shared" si="0"/>
        <v>5.1222791765316862E-2</v>
      </c>
      <c r="M26" s="6">
        <v>0.05</v>
      </c>
      <c r="N26" s="6">
        <f t="shared" si="1"/>
        <v>7.0000000000000007E-2</v>
      </c>
    </row>
    <row r="27" spans="1:14" x14ac:dyDescent="0.35">
      <c r="A27" s="10" t="s">
        <v>668</v>
      </c>
      <c r="B27" s="10" t="s">
        <v>646</v>
      </c>
      <c r="C27" s="10" t="s">
        <v>647</v>
      </c>
      <c r="D27" s="10" t="s">
        <v>467</v>
      </c>
      <c r="E27" s="10" t="s">
        <v>722</v>
      </c>
      <c r="F27" s="10" t="s">
        <v>736</v>
      </c>
      <c r="G27" s="10" t="s">
        <v>724</v>
      </c>
      <c r="H27" s="52">
        <v>670000</v>
      </c>
      <c r="I27" s="10" t="s">
        <v>735</v>
      </c>
      <c r="J27" s="10" t="s">
        <v>12</v>
      </c>
      <c r="K27" s="10" t="s">
        <v>13</v>
      </c>
      <c r="L27" s="6">
        <f t="shared" si="0"/>
        <v>5.1222791765316862E-2</v>
      </c>
      <c r="M27" s="6">
        <v>0.05</v>
      </c>
      <c r="N27" s="6">
        <f t="shared" si="1"/>
        <v>7.0000000000000007E-2</v>
      </c>
    </row>
    <row r="28" spans="1:14" x14ac:dyDescent="0.35">
      <c r="A28" s="10" t="s">
        <v>16</v>
      </c>
      <c r="B28" s="10" t="s">
        <v>646</v>
      </c>
      <c r="C28" s="10" t="s">
        <v>647</v>
      </c>
      <c r="D28" s="10" t="s">
        <v>467</v>
      </c>
      <c r="E28" s="10" t="s">
        <v>737</v>
      </c>
      <c r="F28" s="10" t="s">
        <v>738</v>
      </c>
      <c r="G28" s="10" t="s">
        <v>739</v>
      </c>
      <c r="H28" s="52">
        <v>220000</v>
      </c>
      <c r="I28" s="10" t="s">
        <v>740</v>
      </c>
      <c r="J28" s="10" t="s">
        <v>12</v>
      </c>
      <c r="K28" s="10" t="s">
        <v>13</v>
      </c>
      <c r="L28" s="6">
        <f t="shared" si="0"/>
        <v>5.234960967396296E-2</v>
      </c>
      <c r="M28" s="6">
        <v>0.05</v>
      </c>
      <c r="N28" s="6">
        <f t="shared" si="1"/>
        <v>7.0000000000000007E-2</v>
      </c>
    </row>
    <row r="29" spans="1:14" x14ac:dyDescent="0.35">
      <c r="A29" s="52" t="s">
        <v>668</v>
      </c>
      <c r="B29" s="52" t="s">
        <v>646</v>
      </c>
      <c r="C29" s="52" t="s">
        <v>647</v>
      </c>
      <c r="D29" s="52" t="s">
        <v>467</v>
      </c>
      <c r="E29" s="52" t="s">
        <v>741</v>
      </c>
      <c r="F29" s="52" t="s">
        <v>742</v>
      </c>
      <c r="G29" s="52" t="s">
        <v>743</v>
      </c>
      <c r="H29" s="52">
        <v>1160000</v>
      </c>
      <c r="I29" s="52" t="s">
        <v>744</v>
      </c>
      <c r="J29" s="52" t="s">
        <v>12</v>
      </c>
      <c r="K29" s="52" t="s">
        <v>13</v>
      </c>
      <c r="L29" s="6">
        <f t="shared" si="0"/>
        <v>4.649599760388503E-2</v>
      </c>
      <c r="M29" s="6">
        <v>4.4999999999999998E-2</v>
      </c>
      <c r="N29" s="6">
        <f t="shared" si="1"/>
        <v>6.5000000000000002E-2</v>
      </c>
    </row>
    <row r="30" spans="1:14" x14ac:dyDescent="0.35">
      <c r="A30" s="52" t="s">
        <v>14</v>
      </c>
      <c r="B30" s="52" t="s">
        <v>646</v>
      </c>
      <c r="C30" s="52" t="s">
        <v>647</v>
      </c>
      <c r="D30" s="52" t="s">
        <v>467</v>
      </c>
      <c r="E30" s="52" t="s">
        <v>648</v>
      </c>
      <c r="F30" s="52" t="s">
        <v>745</v>
      </c>
      <c r="G30" s="52" t="s">
        <v>650</v>
      </c>
      <c r="H30" s="52">
        <v>16000</v>
      </c>
      <c r="I30" s="52" t="s">
        <v>746</v>
      </c>
      <c r="J30" s="52" t="s">
        <v>12</v>
      </c>
      <c r="K30" s="52" t="s">
        <v>13</v>
      </c>
      <c r="L30" s="6">
        <f t="shared" si="0"/>
        <v>4.8012052138599597E-2</v>
      </c>
      <c r="M30" s="17">
        <v>0.05</v>
      </c>
      <c r="N30" s="6">
        <f t="shared" si="1"/>
        <v>7.0000000000000007E-2</v>
      </c>
    </row>
    <row r="31" spans="1:14" x14ac:dyDescent="0.35">
      <c r="A31" s="10" t="s">
        <v>16</v>
      </c>
      <c r="B31" s="10" t="s">
        <v>646</v>
      </c>
      <c r="C31" s="10" t="s">
        <v>647</v>
      </c>
      <c r="D31" s="10" t="s">
        <v>467</v>
      </c>
      <c r="E31" s="10" t="s">
        <v>747</v>
      </c>
      <c r="F31" s="10" t="s">
        <v>748</v>
      </c>
      <c r="G31" s="10" t="s">
        <v>749</v>
      </c>
      <c r="H31" s="52">
        <v>225000</v>
      </c>
      <c r="I31" s="10" t="s">
        <v>750</v>
      </c>
      <c r="J31" s="10" t="s">
        <v>12</v>
      </c>
      <c r="K31" s="10" t="s">
        <v>13</v>
      </c>
      <c r="L31" s="6">
        <f t="shared" si="0"/>
        <v>4.9606747338663777E-2</v>
      </c>
      <c r="M31" s="6">
        <v>0.05</v>
      </c>
      <c r="N31" s="6">
        <f t="shared" si="1"/>
        <v>7.0000000000000007E-2</v>
      </c>
    </row>
    <row r="32" spans="1:14" x14ac:dyDescent="0.35">
      <c r="A32" s="52" t="s">
        <v>18</v>
      </c>
      <c r="B32" s="52" t="s">
        <v>646</v>
      </c>
      <c r="C32" s="52" t="s">
        <v>647</v>
      </c>
      <c r="D32" s="52" t="s">
        <v>467</v>
      </c>
      <c r="E32" s="52" t="s">
        <v>751</v>
      </c>
      <c r="F32" s="52" t="s">
        <v>752</v>
      </c>
      <c r="G32" s="52" t="s">
        <v>753</v>
      </c>
      <c r="H32" s="52">
        <v>1070000</v>
      </c>
      <c r="I32" s="52" t="s">
        <v>754</v>
      </c>
      <c r="J32" s="52" t="s">
        <v>12</v>
      </c>
      <c r="K32" s="52" t="s">
        <v>13</v>
      </c>
      <c r="L32" s="6">
        <f t="shared" si="0"/>
        <v>4.9418798523359869E-2</v>
      </c>
      <c r="M32" s="6">
        <v>0.05</v>
      </c>
      <c r="N32" s="6">
        <f t="shared" si="1"/>
        <v>7.0000000000000007E-2</v>
      </c>
    </row>
    <row r="33" spans="1:14" x14ac:dyDescent="0.35">
      <c r="A33" s="52" t="s">
        <v>289</v>
      </c>
      <c r="B33" s="52" t="s">
        <v>646</v>
      </c>
      <c r="C33" s="52" t="s">
        <v>647</v>
      </c>
      <c r="D33" s="52" t="s">
        <v>467</v>
      </c>
      <c r="E33" s="52" t="s">
        <v>648</v>
      </c>
      <c r="F33" s="52" t="s">
        <v>755</v>
      </c>
      <c r="G33" s="52" t="s">
        <v>650</v>
      </c>
      <c r="H33" s="52">
        <v>15000</v>
      </c>
      <c r="I33" s="52" t="s">
        <v>651</v>
      </c>
      <c r="J33" s="52" t="s">
        <v>12</v>
      </c>
      <c r="K33" s="52" t="s">
        <v>13</v>
      </c>
      <c r="L33" s="6">
        <f t="shared" si="0"/>
        <v>6.9976460517868613E-2</v>
      </c>
      <c r="M33" s="6">
        <v>7.0000000000000007E-2</v>
      </c>
      <c r="N33" s="6">
        <f t="shared" si="1"/>
        <v>9.0000000000000011E-2</v>
      </c>
    </row>
    <row r="34" spans="1:14" x14ac:dyDescent="0.35">
      <c r="A34" s="52" t="s">
        <v>17</v>
      </c>
      <c r="B34" s="52" t="s">
        <v>646</v>
      </c>
      <c r="C34" s="52" t="s">
        <v>647</v>
      </c>
      <c r="D34" s="52" t="s">
        <v>467</v>
      </c>
      <c r="E34" s="52" t="s">
        <v>756</v>
      </c>
      <c r="F34" s="52" t="s">
        <v>757</v>
      </c>
      <c r="G34" s="52" t="s">
        <v>758</v>
      </c>
      <c r="H34" s="52">
        <v>28000</v>
      </c>
      <c r="I34" s="52" t="s">
        <v>759</v>
      </c>
      <c r="J34" s="52" t="s">
        <v>12</v>
      </c>
      <c r="K34" s="52" t="s">
        <v>13</v>
      </c>
      <c r="L34" s="6">
        <f t="shared" si="0"/>
        <v>4.5946955547254392E-2</v>
      </c>
      <c r="M34" s="6">
        <v>4.4999999999999998E-2</v>
      </c>
      <c r="N34" s="6">
        <f t="shared" si="1"/>
        <v>6.5000000000000002E-2</v>
      </c>
    </row>
    <row r="35" spans="1:14" x14ac:dyDescent="0.35">
      <c r="A35" s="10" t="s">
        <v>18</v>
      </c>
      <c r="B35" s="10" t="s">
        <v>646</v>
      </c>
      <c r="C35" s="10" t="s">
        <v>647</v>
      </c>
      <c r="D35" s="10" t="s">
        <v>467</v>
      </c>
      <c r="E35" s="10" t="s">
        <v>760</v>
      </c>
      <c r="F35" s="10" t="s">
        <v>761</v>
      </c>
      <c r="G35" s="10" t="s">
        <v>762</v>
      </c>
      <c r="H35" s="52">
        <v>715000</v>
      </c>
      <c r="I35" s="10" t="s">
        <v>763</v>
      </c>
      <c r="J35" s="10" t="s">
        <v>12</v>
      </c>
      <c r="K35" s="10" t="s">
        <v>13</v>
      </c>
      <c r="L35" s="6">
        <f t="shared" si="0"/>
        <v>5.1425748019569756E-2</v>
      </c>
      <c r="M35" s="6">
        <v>0.05</v>
      </c>
      <c r="N35" s="6">
        <f t="shared" si="1"/>
        <v>7.0000000000000007E-2</v>
      </c>
    </row>
    <row r="36" spans="1:14" x14ac:dyDescent="0.35">
      <c r="A36" s="52" t="s">
        <v>551</v>
      </c>
      <c r="B36" s="52" t="s">
        <v>646</v>
      </c>
      <c r="C36" s="52" t="s">
        <v>647</v>
      </c>
      <c r="D36" s="52" t="s">
        <v>467</v>
      </c>
      <c r="E36" s="52" t="s">
        <v>764</v>
      </c>
      <c r="F36" s="52" t="s">
        <v>765</v>
      </c>
      <c r="G36" s="52" t="s">
        <v>766</v>
      </c>
      <c r="H36" s="52">
        <v>977000</v>
      </c>
      <c r="I36" s="52" t="s">
        <v>767</v>
      </c>
      <c r="J36" s="52" t="s">
        <v>12</v>
      </c>
      <c r="K36" s="52" t="s">
        <v>13</v>
      </c>
      <c r="L36" s="6">
        <f t="shared" si="0"/>
        <v>5.0037455276680035E-2</v>
      </c>
      <c r="M36" s="6">
        <v>0.05</v>
      </c>
      <c r="N36" s="6">
        <f t="shared" si="1"/>
        <v>7.0000000000000007E-2</v>
      </c>
    </row>
    <row r="37" spans="1:14" x14ac:dyDescent="0.35">
      <c r="A37" s="52" t="s">
        <v>17</v>
      </c>
      <c r="B37" s="52" t="s">
        <v>646</v>
      </c>
      <c r="C37" s="52" t="s">
        <v>647</v>
      </c>
      <c r="D37" s="52" t="s">
        <v>467</v>
      </c>
      <c r="E37" s="52" t="s">
        <v>768</v>
      </c>
      <c r="F37" s="52" t="s">
        <v>769</v>
      </c>
      <c r="G37" s="52" t="s">
        <v>770</v>
      </c>
      <c r="H37" s="52">
        <v>42500</v>
      </c>
      <c r="I37" s="52" t="s">
        <v>771</v>
      </c>
      <c r="J37" s="52" t="s">
        <v>12</v>
      </c>
      <c r="K37" s="52" t="s">
        <v>13</v>
      </c>
      <c r="L37" s="6">
        <f t="shared" si="0"/>
        <v>5.3936763794172352E-2</v>
      </c>
      <c r="M37" s="6">
        <v>5.2499999999999998E-2</v>
      </c>
      <c r="N37" s="6">
        <f t="shared" si="1"/>
        <v>7.2499999999999995E-2</v>
      </c>
    </row>
    <row r="38" spans="1:14" x14ac:dyDescent="0.35">
      <c r="A38" s="10" t="s">
        <v>772</v>
      </c>
      <c r="B38" s="10" t="s">
        <v>646</v>
      </c>
      <c r="C38" s="10" t="s">
        <v>647</v>
      </c>
      <c r="D38" s="10" t="s">
        <v>467</v>
      </c>
      <c r="E38" s="10" t="s">
        <v>773</v>
      </c>
      <c r="F38" s="10" t="s">
        <v>774</v>
      </c>
      <c r="G38" s="10" t="s">
        <v>775</v>
      </c>
      <c r="H38" s="52">
        <v>52500</v>
      </c>
      <c r="I38" s="10" t="s">
        <v>776</v>
      </c>
      <c r="J38" s="10" t="s">
        <v>12</v>
      </c>
      <c r="K38" s="10" t="s">
        <v>13</v>
      </c>
      <c r="L38" s="6">
        <f t="shared" si="0"/>
        <v>5.4322723164976404E-2</v>
      </c>
      <c r="M38" s="6">
        <v>5.5E-2</v>
      </c>
      <c r="N38" s="6">
        <f t="shared" si="1"/>
        <v>7.4999999999999997E-2</v>
      </c>
    </row>
    <row r="39" spans="1:14" x14ac:dyDescent="0.35">
      <c r="A39" s="52" t="s">
        <v>16</v>
      </c>
      <c r="B39" s="52" t="s">
        <v>646</v>
      </c>
      <c r="C39" s="52" t="s">
        <v>647</v>
      </c>
      <c r="D39" s="52" t="s">
        <v>467</v>
      </c>
      <c r="E39" s="52" t="s">
        <v>777</v>
      </c>
      <c r="F39" s="52" t="s">
        <v>778</v>
      </c>
      <c r="G39" s="52" t="s">
        <v>779</v>
      </c>
      <c r="H39" s="52">
        <v>360000</v>
      </c>
      <c r="I39" s="52" t="s">
        <v>780</v>
      </c>
      <c r="J39" s="52" t="s">
        <v>12</v>
      </c>
      <c r="K39" s="52" t="s">
        <v>13</v>
      </c>
      <c r="L39" s="6">
        <f t="shared" si="0"/>
        <v>4.4437932825233624E-2</v>
      </c>
      <c r="M39" s="6">
        <v>4.4999999999999998E-2</v>
      </c>
      <c r="N39" s="6">
        <f t="shared" si="1"/>
        <v>6.5000000000000002E-2</v>
      </c>
    </row>
    <row r="40" spans="1:14" x14ac:dyDescent="0.35">
      <c r="A40" s="52" t="s">
        <v>289</v>
      </c>
      <c r="B40" s="52" t="s">
        <v>646</v>
      </c>
      <c r="C40" s="52" t="s">
        <v>647</v>
      </c>
      <c r="D40" s="52" t="s">
        <v>467</v>
      </c>
      <c r="E40" s="52" t="s">
        <v>781</v>
      </c>
      <c r="F40" s="52" t="s">
        <v>782</v>
      </c>
      <c r="G40" s="52" t="s">
        <v>783</v>
      </c>
      <c r="H40" s="52">
        <v>30000</v>
      </c>
      <c r="I40" s="52" t="s">
        <v>784</v>
      </c>
      <c r="J40" s="52" t="s">
        <v>12</v>
      </c>
      <c r="K40" s="52" t="s">
        <v>13</v>
      </c>
      <c r="L40" s="6">
        <f t="shared" si="0"/>
        <v>6.8071774423241235E-2</v>
      </c>
      <c r="M40" s="6">
        <v>7.0000000000000007E-2</v>
      </c>
      <c r="N40" s="6">
        <f t="shared" si="1"/>
        <v>9.0000000000000011E-2</v>
      </c>
    </row>
    <row r="41" spans="1:14" x14ac:dyDescent="0.35">
      <c r="A41" s="10" t="s">
        <v>14</v>
      </c>
      <c r="B41" s="10" t="s">
        <v>646</v>
      </c>
      <c r="C41" s="10" t="s">
        <v>647</v>
      </c>
      <c r="D41" s="10" t="s">
        <v>467</v>
      </c>
      <c r="E41" s="10" t="s">
        <v>781</v>
      </c>
      <c r="F41" s="10" t="s">
        <v>785</v>
      </c>
      <c r="G41" s="10" t="s">
        <v>783</v>
      </c>
      <c r="H41" s="52">
        <v>30000</v>
      </c>
      <c r="I41" s="10" t="s">
        <v>784</v>
      </c>
      <c r="J41" s="10" t="s">
        <v>12</v>
      </c>
      <c r="K41" s="10" t="s">
        <v>13</v>
      </c>
      <c r="L41" s="6">
        <f t="shared" si="0"/>
        <v>6.8071774423241235E-2</v>
      </c>
      <c r="M41" s="6">
        <v>7.0000000000000007E-2</v>
      </c>
      <c r="N41" s="6">
        <f t="shared" si="1"/>
        <v>9.0000000000000011E-2</v>
      </c>
    </row>
    <row r="42" spans="1:14" x14ac:dyDescent="0.35">
      <c r="A42" s="52" t="s">
        <v>16</v>
      </c>
      <c r="B42" s="52" t="s">
        <v>646</v>
      </c>
      <c r="C42" s="52" t="s">
        <v>647</v>
      </c>
      <c r="D42" s="52" t="s">
        <v>467</v>
      </c>
      <c r="E42" s="52" t="s">
        <v>786</v>
      </c>
      <c r="F42" s="52" t="s">
        <v>787</v>
      </c>
      <c r="G42" s="52" t="s">
        <v>788</v>
      </c>
      <c r="H42" s="52">
        <v>475000</v>
      </c>
      <c r="I42" s="52" t="s">
        <v>789</v>
      </c>
      <c r="J42" s="52" t="s">
        <v>12</v>
      </c>
      <c r="K42" s="52" t="s">
        <v>13</v>
      </c>
      <c r="L42" s="6">
        <f t="shared" si="0"/>
        <v>5.0689694835473052E-2</v>
      </c>
      <c r="M42" s="6">
        <v>0.05</v>
      </c>
      <c r="N42" s="6">
        <f t="shared" si="1"/>
        <v>7.0000000000000007E-2</v>
      </c>
    </row>
    <row r="43" spans="1:14" x14ac:dyDescent="0.35">
      <c r="A43" s="10" t="s">
        <v>772</v>
      </c>
      <c r="B43" s="10" t="s">
        <v>646</v>
      </c>
      <c r="C43" s="10" t="s">
        <v>647</v>
      </c>
      <c r="D43" s="10" t="s">
        <v>467</v>
      </c>
      <c r="E43" s="10" t="s">
        <v>790</v>
      </c>
      <c r="F43" s="10" t="s">
        <v>791</v>
      </c>
      <c r="G43" s="10" t="s">
        <v>792</v>
      </c>
      <c r="H43" s="52">
        <v>70000</v>
      </c>
      <c r="I43" s="10" t="s">
        <v>793</v>
      </c>
      <c r="J43" s="10" t="s">
        <v>12</v>
      </c>
      <c r="K43" s="10" t="s">
        <v>13</v>
      </c>
      <c r="L43" s="6">
        <f t="shared" si="0"/>
        <v>5.92418854505561E-2</v>
      </c>
      <c r="M43" s="6">
        <v>0.06</v>
      </c>
      <c r="N43" s="6">
        <f t="shared" si="1"/>
        <v>0.08</v>
      </c>
    </row>
    <row r="44" spans="1:14" x14ac:dyDescent="0.35">
      <c r="A44" s="52" t="s">
        <v>16</v>
      </c>
      <c r="B44" s="52" t="s">
        <v>646</v>
      </c>
      <c r="C44" s="52" t="s">
        <v>647</v>
      </c>
      <c r="D44" s="52" t="s">
        <v>467</v>
      </c>
      <c r="E44" s="52" t="s">
        <v>786</v>
      </c>
      <c r="F44" s="52" t="s">
        <v>794</v>
      </c>
      <c r="G44" s="52" t="s">
        <v>788</v>
      </c>
      <c r="H44" s="52">
        <v>450000</v>
      </c>
      <c r="I44" s="52" t="s">
        <v>795</v>
      </c>
      <c r="J44" s="52" t="s">
        <v>12</v>
      </c>
      <c r="K44" s="52" t="s">
        <v>13</v>
      </c>
      <c r="L44" s="6">
        <f t="shared" si="0"/>
        <v>7.2276180218649025E-2</v>
      </c>
      <c r="M44" s="6">
        <v>7.2499999999999995E-2</v>
      </c>
      <c r="N44" s="6">
        <f t="shared" si="1"/>
        <v>9.2499999999999999E-2</v>
      </c>
    </row>
    <row r="45" spans="1:14" x14ac:dyDescent="0.35">
      <c r="A45" s="52" t="s">
        <v>551</v>
      </c>
      <c r="B45" s="52" t="s">
        <v>646</v>
      </c>
      <c r="C45" s="52" t="s">
        <v>647</v>
      </c>
      <c r="D45" s="52" t="s">
        <v>467</v>
      </c>
      <c r="E45" s="52" t="s">
        <v>796</v>
      </c>
      <c r="F45" s="52" t="s">
        <v>797</v>
      </c>
      <c r="G45" s="52" t="s">
        <v>798</v>
      </c>
      <c r="H45" s="52">
        <v>2000000</v>
      </c>
      <c r="I45" s="52" t="s">
        <v>799</v>
      </c>
      <c r="J45" s="52" t="s">
        <v>12</v>
      </c>
      <c r="K45" s="52" t="s">
        <v>13</v>
      </c>
      <c r="L45" s="6">
        <f t="shared" si="0"/>
        <v>4.9933250493599868E-2</v>
      </c>
      <c r="M45" s="6">
        <v>0.05</v>
      </c>
      <c r="N45" s="6">
        <f t="shared" si="1"/>
        <v>7.0000000000000007E-2</v>
      </c>
    </row>
    <row r="46" spans="1:14" x14ac:dyDescent="0.35">
      <c r="A46" s="52" t="s">
        <v>289</v>
      </c>
      <c r="B46" s="52" t="s">
        <v>646</v>
      </c>
      <c r="C46" s="52" t="s">
        <v>647</v>
      </c>
      <c r="D46" s="52" t="s">
        <v>467</v>
      </c>
      <c r="E46" s="52" t="s">
        <v>660</v>
      </c>
      <c r="F46" s="52" t="s">
        <v>800</v>
      </c>
      <c r="G46" s="52" t="s">
        <v>662</v>
      </c>
      <c r="H46" s="52">
        <v>59500</v>
      </c>
      <c r="I46" s="52" t="s">
        <v>801</v>
      </c>
      <c r="J46" s="52" t="s">
        <v>12</v>
      </c>
      <c r="K46" s="52" t="s">
        <v>13</v>
      </c>
      <c r="L46" s="6">
        <f t="shared" si="0"/>
        <v>5.4777521716007797E-2</v>
      </c>
      <c r="M46" s="6">
        <v>5.5E-2</v>
      </c>
      <c r="N46" s="6">
        <f t="shared" si="1"/>
        <v>7.4999999999999997E-2</v>
      </c>
    </row>
    <row r="47" spans="1:14" x14ac:dyDescent="0.35">
      <c r="A47" s="10" t="s">
        <v>772</v>
      </c>
      <c r="B47" s="10" t="s">
        <v>646</v>
      </c>
      <c r="C47" s="10" t="s">
        <v>647</v>
      </c>
      <c r="D47" s="10" t="s">
        <v>467</v>
      </c>
      <c r="E47" s="10" t="s">
        <v>802</v>
      </c>
      <c r="F47" s="10" t="s">
        <v>803</v>
      </c>
      <c r="G47" s="10" t="s">
        <v>804</v>
      </c>
      <c r="H47" s="52">
        <v>85000</v>
      </c>
      <c r="I47" s="10" t="s">
        <v>805</v>
      </c>
      <c r="J47" s="10" t="s">
        <v>12</v>
      </c>
      <c r="K47" s="10" t="s">
        <v>13</v>
      </c>
      <c r="L47" s="6">
        <f t="shared" si="0"/>
        <v>7.0353720423608226E-2</v>
      </c>
      <c r="M47" s="6">
        <v>7.0000000000000007E-2</v>
      </c>
      <c r="N47" s="6">
        <f t="shared" si="1"/>
        <v>9.0000000000000011E-2</v>
      </c>
    </row>
    <row r="48" spans="1:14" x14ac:dyDescent="0.35">
      <c r="A48" s="52" t="s">
        <v>772</v>
      </c>
      <c r="B48" s="52" t="s">
        <v>646</v>
      </c>
      <c r="C48" s="52" t="s">
        <v>647</v>
      </c>
      <c r="D48" s="52" t="s">
        <v>467</v>
      </c>
      <c r="E48" s="52" t="s">
        <v>806</v>
      </c>
      <c r="F48" s="52" t="s">
        <v>807</v>
      </c>
      <c r="G48" s="52" t="s">
        <v>808</v>
      </c>
      <c r="H48" s="52">
        <v>105000</v>
      </c>
      <c r="I48" s="52" t="s">
        <v>809</v>
      </c>
      <c r="J48" s="52" t="s">
        <v>12</v>
      </c>
      <c r="K48" s="52" t="s">
        <v>13</v>
      </c>
      <c r="L48" s="6">
        <f t="shared" si="0"/>
        <v>5.870253483635484E-2</v>
      </c>
      <c r="M48" s="6">
        <v>0.06</v>
      </c>
      <c r="N48" s="6">
        <f t="shared" si="1"/>
        <v>0.08</v>
      </c>
    </row>
    <row r="49" spans="1:14" x14ac:dyDescent="0.35">
      <c r="A49" s="10" t="s">
        <v>772</v>
      </c>
      <c r="B49" s="10" t="s">
        <v>646</v>
      </c>
      <c r="C49" s="10" t="s">
        <v>647</v>
      </c>
      <c r="D49" s="10" t="s">
        <v>467</v>
      </c>
      <c r="E49" s="10" t="s">
        <v>810</v>
      </c>
      <c r="F49" s="10" t="s">
        <v>811</v>
      </c>
      <c r="G49" s="10" t="s">
        <v>812</v>
      </c>
      <c r="H49" s="52">
        <v>140000</v>
      </c>
      <c r="I49" s="10" t="s">
        <v>813</v>
      </c>
      <c r="J49" s="10" t="s">
        <v>12</v>
      </c>
      <c r="K49" s="10" t="s">
        <v>13</v>
      </c>
      <c r="L49" s="6">
        <f t="shared" si="0"/>
        <v>5.7769315623252791E-2</v>
      </c>
      <c r="M49" s="6">
        <v>0.06</v>
      </c>
      <c r="N49" s="6">
        <f t="shared" si="1"/>
        <v>0.08</v>
      </c>
    </row>
    <row r="50" spans="1:14" x14ac:dyDescent="0.35">
      <c r="A50" s="52" t="s">
        <v>16</v>
      </c>
      <c r="B50" s="52" t="s">
        <v>646</v>
      </c>
      <c r="C50" s="52" t="s">
        <v>647</v>
      </c>
      <c r="D50" s="52" t="s">
        <v>467</v>
      </c>
      <c r="E50" s="52" t="s">
        <v>814</v>
      </c>
      <c r="F50" s="52" t="s">
        <v>815</v>
      </c>
      <c r="G50" s="52" t="s">
        <v>816</v>
      </c>
      <c r="H50" s="52">
        <v>920000</v>
      </c>
      <c r="I50" s="52" t="s">
        <v>817</v>
      </c>
      <c r="J50" s="52" t="s">
        <v>12</v>
      </c>
      <c r="K50" s="52" t="s">
        <v>13</v>
      </c>
      <c r="L50" s="6">
        <f t="shared" si="0"/>
        <v>4.9726215428921555E-2</v>
      </c>
      <c r="M50" s="6">
        <v>0.05</v>
      </c>
      <c r="N50" s="6">
        <f t="shared" si="1"/>
        <v>7.0000000000000007E-2</v>
      </c>
    </row>
    <row r="51" spans="1:14" x14ac:dyDescent="0.35">
      <c r="A51" s="10" t="s">
        <v>17</v>
      </c>
      <c r="B51" s="10" t="s">
        <v>646</v>
      </c>
      <c r="C51" s="10" t="s">
        <v>647</v>
      </c>
      <c r="D51" s="10" t="s">
        <v>467</v>
      </c>
      <c r="E51" s="10" t="s">
        <v>818</v>
      </c>
      <c r="F51" s="10" t="s">
        <v>819</v>
      </c>
      <c r="G51" s="10" t="s">
        <v>820</v>
      </c>
      <c r="H51" s="52">
        <v>115000</v>
      </c>
      <c r="I51" s="10" t="s">
        <v>821</v>
      </c>
      <c r="J51" s="10" t="s">
        <v>12</v>
      </c>
      <c r="K51" s="10" t="s">
        <v>13</v>
      </c>
      <c r="L51" s="6">
        <f t="shared" si="0"/>
        <v>7.3943333146560583E-2</v>
      </c>
      <c r="M51" s="6">
        <v>7.2499999999999995E-2</v>
      </c>
      <c r="N51" s="6">
        <f t="shared" si="1"/>
        <v>9.2499999999999999E-2</v>
      </c>
    </row>
    <row r="52" spans="1:14" x14ac:dyDescent="0.35">
      <c r="A52" s="10" t="s">
        <v>289</v>
      </c>
      <c r="B52" s="10" t="s">
        <v>646</v>
      </c>
      <c r="C52" s="10" t="s">
        <v>647</v>
      </c>
      <c r="D52" s="10" t="s">
        <v>467</v>
      </c>
      <c r="E52" s="10" t="s">
        <v>822</v>
      </c>
      <c r="F52" s="10" t="s">
        <v>823</v>
      </c>
      <c r="G52" s="10" t="s">
        <v>824</v>
      </c>
      <c r="H52" s="52">
        <v>74000</v>
      </c>
      <c r="I52" s="10" t="s">
        <v>825</v>
      </c>
      <c r="J52" s="10" t="s">
        <v>12</v>
      </c>
      <c r="K52" s="10" t="s">
        <v>13</v>
      </c>
      <c r="L52" s="6">
        <f t="shared" si="0"/>
        <v>5.5710107710963692E-2</v>
      </c>
      <c r="M52" s="6">
        <v>5.5E-2</v>
      </c>
      <c r="N52" s="6">
        <f t="shared" si="1"/>
        <v>7.4999999999999997E-2</v>
      </c>
    </row>
    <row r="53" spans="1:14" x14ac:dyDescent="0.35">
      <c r="A53" s="52" t="s">
        <v>14</v>
      </c>
      <c r="B53" s="52" t="s">
        <v>646</v>
      </c>
      <c r="C53" s="52" t="s">
        <v>647</v>
      </c>
      <c r="D53" s="52" t="s">
        <v>467</v>
      </c>
      <c r="E53" s="52" t="s">
        <v>822</v>
      </c>
      <c r="F53" s="52" t="s">
        <v>826</v>
      </c>
      <c r="G53" s="52" t="s">
        <v>824</v>
      </c>
      <c r="H53" s="52">
        <v>74000</v>
      </c>
      <c r="I53" s="52" t="s">
        <v>825</v>
      </c>
      <c r="J53" s="52" t="s">
        <v>12</v>
      </c>
      <c r="K53" s="52" t="s">
        <v>13</v>
      </c>
      <c r="L53" s="6">
        <f t="shared" si="0"/>
        <v>5.5710107710963692E-2</v>
      </c>
      <c r="M53" s="6">
        <v>5.5E-2</v>
      </c>
      <c r="N53" s="6">
        <f t="shared" si="1"/>
        <v>7.4999999999999997E-2</v>
      </c>
    </row>
    <row r="54" spans="1:14" x14ac:dyDescent="0.35">
      <c r="A54" s="10" t="s">
        <v>17</v>
      </c>
      <c r="B54" s="10" t="s">
        <v>646</v>
      </c>
      <c r="C54" s="10" t="s">
        <v>647</v>
      </c>
      <c r="D54" s="10" t="s">
        <v>467</v>
      </c>
      <c r="E54" s="10" t="s">
        <v>827</v>
      </c>
      <c r="F54" s="10" t="s">
        <v>828</v>
      </c>
      <c r="G54" s="10" t="s">
        <v>829</v>
      </c>
      <c r="H54" s="52">
        <v>200000</v>
      </c>
      <c r="I54" s="10" t="s">
        <v>830</v>
      </c>
      <c r="J54" s="10" t="s">
        <v>12</v>
      </c>
      <c r="K54" s="10" t="s">
        <v>13</v>
      </c>
      <c r="L54" s="6">
        <f t="shared" si="0"/>
        <v>6.0377918690221195E-2</v>
      </c>
      <c r="M54" s="6">
        <v>0.06</v>
      </c>
      <c r="N54" s="6">
        <f t="shared" si="1"/>
        <v>0.08</v>
      </c>
    </row>
    <row r="55" spans="1:14" x14ac:dyDescent="0.35">
      <c r="A55" s="10" t="s">
        <v>289</v>
      </c>
      <c r="B55" s="10" t="s">
        <v>646</v>
      </c>
      <c r="C55" s="10" t="s">
        <v>647</v>
      </c>
      <c r="D55" s="10" t="s">
        <v>467</v>
      </c>
      <c r="E55" s="10" t="s">
        <v>831</v>
      </c>
      <c r="F55" s="10" t="s">
        <v>832</v>
      </c>
      <c r="G55" s="10" t="s">
        <v>833</v>
      </c>
      <c r="H55" s="52">
        <v>148000</v>
      </c>
      <c r="I55" s="10" t="s">
        <v>834</v>
      </c>
      <c r="J55" s="10" t="s">
        <v>12</v>
      </c>
      <c r="K55" s="10" t="s">
        <v>13</v>
      </c>
      <c r="L55" s="6">
        <f t="shared" si="0"/>
        <v>5.570257719825096E-2</v>
      </c>
      <c r="M55" s="6">
        <v>5.5E-2</v>
      </c>
      <c r="N55" s="6">
        <f t="shared" si="1"/>
        <v>7.4999999999999997E-2</v>
      </c>
    </row>
    <row r="56" spans="1:14" x14ac:dyDescent="0.35">
      <c r="A56" s="52" t="s">
        <v>14</v>
      </c>
      <c r="B56" s="52" t="s">
        <v>646</v>
      </c>
      <c r="C56" s="52" t="s">
        <v>647</v>
      </c>
      <c r="D56" s="52" t="s">
        <v>467</v>
      </c>
      <c r="E56" s="52" t="s">
        <v>831</v>
      </c>
      <c r="F56" s="52" t="s">
        <v>835</v>
      </c>
      <c r="G56" s="52" t="s">
        <v>833</v>
      </c>
      <c r="H56" s="52">
        <v>148000</v>
      </c>
      <c r="I56" s="52" t="s">
        <v>834</v>
      </c>
      <c r="J56" s="52" t="s">
        <v>12</v>
      </c>
      <c r="K56" s="52" t="s">
        <v>13</v>
      </c>
      <c r="L56" s="6">
        <f t="shared" si="0"/>
        <v>5.570257719825096E-2</v>
      </c>
      <c r="M56" s="6">
        <v>5.5E-2</v>
      </c>
      <c r="N56" s="6">
        <f t="shared" si="1"/>
        <v>7.4999999999999997E-2</v>
      </c>
    </row>
    <row r="57" spans="1:14" x14ac:dyDescent="0.35">
      <c r="A57" s="10" t="s">
        <v>772</v>
      </c>
      <c r="B57" s="10" t="s">
        <v>646</v>
      </c>
      <c r="C57" s="10" t="s">
        <v>647</v>
      </c>
      <c r="D57" s="10" t="s">
        <v>467</v>
      </c>
      <c r="E57" s="10" t="s">
        <v>836</v>
      </c>
      <c r="F57" s="10" t="s">
        <v>837</v>
      </c>
      <c r="G57" s="10" t="s">
        <v>838</v>
      </c>
      <c r="H57" s="52">
        <v>348000</v>
      </c>
      <c r="I57" s="10" t="s">
        <v>839</v>
      </c>
      <c r="J57" s="10" t="s">
        <v>12</v>
      </c>
      <c r="K57" s="10" t="s">
        <v>13</v>
      </c>
      <c r="L57" s="6">
        <f t="shared" si="0"/>
        <v>5.1429400141399129E-2</v>
      </c>
      <c r="M57" s="6">
        <v>0.05</v>
      </c>
      <c r="N57" s="6">
        <f t="shared" si="1"/>
        <v>7.0000000000000007E-2</v>
      </c>
    </row>
    <row r="58" spans="1:14" x14ac:dyDescent="0.35">
      <c r="A58" s="52" t="s">
        <v>289</v>
      </c>
      <c r="B58" s="52" t="s">
        <v>646</v>
      </c>
      <c r="C58" s="52" t="s">
        <v>647</v>
      </c>
      <c r="D58" s="52" t="s">
        <v>467</v>
      </c>
      <c r="E58" s="52" t="s">
        <v>840</v>
      </c>
      <c r="F58" s="52" t="s">
        <v>841</v>
      </c>
      <c r="G58" s="52" t="s">
        <v>842</v>
      </c>
      <c r="H58" s="52">
        <v>236000</v>
      </c>
      <c r="I58" s="52" t="s">
        <v>843</v>
      </c>
      <c r="J58" s="52" t="s">
        <v>12</v>
      </c>
      <c r="K58" s="52" t="s">
        <v>13</v>
      </c>
      <c r="L58" s="6">
        <f t="shared" si="0"/>
        <v>5.2138828826820624E-2</v>
      </c>
      <c r="M58" s="6">
        <v>5.2499999999999998E-2</v>
      </c>
      <c r="N58" s="6">
        <f t="shared" si="1"/>
        <v>7.2499999999999995E-2</v>
      </c>
    </row>
    <row r="59" spans="1:14" x14ac:dyDescent="0.35">
      <c r="A59" s="10" t="s">
        <v>14</v>
      </c>
      <c r="B59" s="10" t="s">
        <v>646</v>
      </c>
      <c r="C59" s="10" t="s">
        <v>647</v>
      </c>
      <c r="D59" s="10" t="s">
        <v>467</v>
      </c>
      <c r="E59" s="10" t="s">
        <v>840</v>
      </c>
      <c r="F59" s="10" t="s">
        <v>844</v>
      </c>
      <c r="G59" s="10" t="s">
        <v>842</v>
      </c>
      <c r="H59" s="52">
        <v>236000</v>
      </c>
      <c r="I59" s="10" t="s">
        <v>843</v>
      </c>
      <c r="J59" s="10" t="s">
        <v>12</v>
      </c>
      <c r="K59" s="10" t="s">
        <v>13</v>
      </c>
      <c r="L59" s="6">
        <f t="shared" si="0"/>
        <v>5.2138828826820624E-2</v>
      </c>
      <c r="M59" s="6">
        <v>5.2499999999999998E-2</v>
      </c>
      <c r="N59" s="6">
        <f t="shared" si="1"/>
        <v>7.2499999999999995E-2</v>
      </c>
    </row>
    <row r="60" spans="1:14" x14ac:dyDescent="0.35">
      <c r="A60" s="52" t="s">
        <v>289</v>
      </c>
      <c r="B60" s="52" t="s">
        <v>646</v>
      </c>
      <c r="C60" s="52" t="s">
        <v>647</v>
      </c>
      <c r="D60" s="52" t="s">
        <v>467</v>
      </c>
      <c r="E60" s="52" t="s">
        <v>845</v>
      </c>
      <c r="F60" s="52" t="s">
        <v>846</v>
      </c>
      <c r="G60" s="52" t="s">
        <v>847</v>
      </c>
      <c r="H60" s="52">
        <v>300000</v>
      </c>
      <c r="I60" s="52" t="s">
        <v>848</v>
      </c>
      <c r="J60" s="52" t="s">
        <v>12</v>
      </c>
      <c r="K60" s="52" t="s">
        <v>13</v>
      </c>
      <c r="L60" s="6">
        <f t="shared" si="0"/>
        <v>6.8075577027830486E-2</v>
      </c>
      <c r="M60" s="6">
        <v>7.0000000000000007E-2</v>
      </c>
      <c r="N60" s="6">
        <f t="shared" si="1"/>
        <v>9.0000000000000011E-2</v>
      </c>
    </row>
    <row r="61" spans="1:14" x14ac:dyDescent="0.35">
      <c r="A61" s="10" t="s">
        <v>14</v>
      </c>
      <c r="B61" s="10" t="s">
        <v>646</v>
      </c>
      <c r="C61" s="10" t="s">
        <v>647</v>
      </c>
      <c r="D61" s="10" t="s">
        <v>467</v>
      </c>
      <c r="E61" s="10" t="s">
        <v>845</v>
      </c>
      <c r="F61" s="10" t="s">
        <v>849</v>
      </c>
      <c r="G61" s="10" t="s">
        <v>847</v>
      </c>
      <c r="H61" s="52">
        <v>300000</v>
      </c>
      <c r="I61" s="10" t="s">
        <v>848</v>
      </c>
      <c r="J61" s="10" t="s">
        <v>12</v>
      </c>
      <c r="K61" s="10" t="s">
        <v>13</v>
      </c>
      <c r="L61" s="6">
        <f t="shared" si="0"/>
        <v>6.8075577027830486E-2</v>
      </c>
      <c r="M61" s="6">
        <v>7.0000000000000007E-2</v>
      </c>
      <c r="N61" s="6">
        <f t="shared" si="1"/>
        <v>9.0000000000000011E-2</v>
      </c>
    </row>
    <row r="62" spans="1:14" x14ac:dyDescent="0.35">
      <c r="A62" s="52" t="s">
        <v>17</v>
      </c>
      <c r="B62" s="52" t="s">
        <v>646</v>
      </c>
      <c r="C62" s="52" t="s">
        <v>647</v>
      </c>
      <c r="D62" s="52" t="s">
        <v>467</v>
      </c>
      <c r="E62" s="52" t="s">
        <v>850</v>
      </c>
      <c r="F62" s="52" t="s">
        <v>851</v>
      </c>
      <c r="G62" s="52" t="s">
        <v>852</v>
      </c>
      <c r="H62" s="52">
        <v>562000</v>
      </c>
      <c r="I62" s="52" t="s">
        <v>853</v>
      </c>
      <c r="J62" s="52" t="s">
        <v>12</v>
      </c>
      <c r="K62" s="52" t="s">
        <v>13</v>
      </c>
      <c r="L62" s="6">
        <f t="shared" si="0"/>
        <v>5.0237611587746228E-2</v>
      </c>
      <c r="M62" s="6">
        <v>0.06</v>
      </c>
      <c r="N62" s="6">
        <f t="shared" si="1"/>
        <v>0.08</v>
      </c>
    </row>
    <row r="63" spans="1:14" x14ac:dyDescent="0.35">
      <c r="A63" s="10" t="s">
        <v>17</v>
      </c>
      <c r="B63" s="10" t="s">
        <v>646</v>
      </c>
      <c r="C63" s="10" t="s">
        <v>647</v>
      </c>
      <c r="D63" s="10" t="s">
        <v>467</v>
      </c>
      <c r="E63" s="10" t="s">
        <v>854</v>
      </c>
      <c r="F63" s="10" t="s">
        <v>855</v>
      </c>
      <c r="G63" s="10" t="s">
        <v>856</v>
      </c>
      <c r="H63" s="52">
        <v>1150000</v>
      </c>
      <c r="I63" s="10" t="s">
        <v>857</v>
      </c>
      <c r="J63" s="10" t="s">
        <v>12</v>
      </c>
      <c r="K63" s="10" t="s">
        <v>13</v>
      </c>
      <c r="L63" s="6">
        <f t="shared" si="0"/>
        <v>7.4531364168957448E-2</v>
      </c>
      <c r="M63" s="6">
        <v>7.4999999999999997E-2</v>
      </c>
      <c r="N63" s="6">
        <f t="shared" si="1"/>
        <v>9.5000000000000001E-2</v>
      </c>
    </row>
    <row r="64" spans="1:14" x14ac:dyDescent="0.35">
      <c r="A64" s="52" t="s">
        <v>289</v>
      </c>
      <c r="B64" s="52" t="s">
        <v>646</v>
      </c>
      <c r="C64" s="52" t="s">
        <v>647</v>
      </c>
      <c r="D64" s="52" t="s">
        <v>467</v>
      </c>
      <c r="E64" s="52" t="s">
        <v>858</v>
      </c>
      <c r="F64" s="52" t="s">
        <v>859</v>
      </c>
      <c r="G64" s="52" t="s">
        <v>860</v>
      </c>
      <c r="H64" s="52">
        <v>650000</v>
      </c>
      <c r="I64" s="52" t="s">
        <v>861</v>
      </c>
      <c r="J64" s="52" t="s">
        <v>12</v>
      </c>
      <c r="K64" s="52" t="s">
        <v>13</v>
      </c>
      <c r="L64" s="6">
        <f t="shared" si="0"/>
        <v>5.1893975560457203E-2</v>
      </c>
      <c r="M64" s="6">
        <v>0.05</v>
      </c>
      <c r="N64" s="6">
        <f t="shared" si="1"/>
        <v>7.0000000000000007E-2</v>
      </c>
    </row>
    <row r="65" spans="1:14" x14ac:dyDescent="0.35">
      <c r="A65" s="10" t="s">
        <v>14</v>
      </c>
      <c r="B65" s="10" t="s">
        <v>646</v>
      </c>
      <c r="C65" s="10" t="s">
        <v>647</v>
      </c>
      <c r="D65" s="10" t="s">
        <v>467</v>
      </c>
      <c r="E65" s="10" t="s">
        <v>858</v>
      </c>
      <c r="F65" s="10" t="s">
        <v>862</v>
      </c>
      <c r="G65" s="10" t="s">
        <v>860</v>
      </c>
      <c r="H65" s="52">
        <v>650000</v>
      </c>
      <c r="I65" s="10" t="s">
        <v>861</v>
      </c>
      <c r="J65" s="10" t="s">
        <v>12</v>
      </c>
      <c r="K65" s="10" t="s">
        <v>13</v>
      </c>
      <c r="L65" s="6">
        <f t="shared" si="0"/>
        <v>5.1893975560457203E-2</v>
      </c>
      <c r="M65" s="6">
        <v>0.05</v>
      </c>
      <c r="N65" s="6">
        <f t="shared" si="1"/>
        <v>7.0000000000000007E-2</v>
      </c>
    </row>
    <row r="66" spans="1:14" x14ac:dyDescent="0.35">
      <c r="A66" s="52" t="s">
        <v>289</v>
      </c>
      <c r="B66" s="52" t="s">
        <v>646</v>
      </c>
      <c r="C66" s="52" t="s">
        <v>647</v>
      </c>
      <c r="D66" s="52" t="s">
        <v>467</v>
      </c>
      <c r="E66" s="52" t="s">
        <v>863</v>
      </c>
      <c r="F66" s="52" t="s">
        <v>864</v>
      </c>
      <c r="G66" s="52" t="s">
        <v>865</v>
      </c>
      <c r="H66" s="52">
        <v>6500</v>
      </c>
      <c r="I66" s="52" t="s">
        <v>866</v>
      </c>
      <c r="J66" s="52" t="s">
        <v>12</v>
      </c>
      <c r="K66" s="52" t="s">
        <v>13</v>
      </c>
      <c r="L66" s="6">
        <f t="shared" si="0"/>
        <v>8.7138317444388699E-2</v>
      </c>
      <c r="M66" s="6">
        <v>8.7499999999999994E-2</v>
      </c>
      <c r="N66" s="6">
        <f t="shared" si="1"/>
        <v>0.1075</v>
      </c>
    </row>
    <row r="67" spans="1:14" x14ac:dyDescent="0.35">
      <c r="A67" s="10" t="s">
        <v>289</v>
      </c>
      <c r="B67" s="10" t="s">
        <v>646</v>
      </c>
      <c r="C67" s="10" t="s">
        <v>647</v>
      </c>
      <c r="D67" s="10" t="s">
        <v>467</v>
      </c>
      <c r="E67" s="10" t="s">
        <v>867</v>
      </c>
      <c r="F67" s="10" t="s">
        <v>868</v>
      </c>
      <c r="G67" s="10" t="s">
        <v>869</v>
      </c>
      <c r="H67" s="52">
        <v>8500</v>
      </c>
      <c r="I67" s="10" t="s">
        <v>870</v>
      </c>
      <c r="J67" s="10" t="s">
        <v>12</v>
      </c>
      <c r="K67" s="10" t="s">
        <v>13</v>
      </c>
      <c r="L67" s="6">
        <f t="shared" ref="L67:L130" si="2">(H67-I67)/I67</f>
        <v>5.7476984324458823E-2</v>
      </c>
      <c r="M67" s="6">
        <v>5.7500000000000002E-2</v>
      </c>
      <c r="N67" s="6">
        <f t="shared" ref="N67:N130" si="3">M67+2%</f>
        <v>7.7499999999999999E-2</v>
      </c>
    </row>
    <row r="68" spans="1:14" x14ac:dyDescent="0.35">
      <c r="A68" s="52" t="s">
        <v>289</v>
      </c>
      <c r="B68" s="52" t="s">
        <v>646</v>
      </c>
      <c r="C68" s="52" t="s">
        <v>647</v>
      </c>
      <c r="D68" s="52" t="s">
        <v>467</v>
      </c>
      <c r="E68" s="52" t="s">
        <v>871</v>
      </c>
      <c r="F68" s="52" t="s">
        <v>872</v>
      </c>
      <c r="G68" s="52" t="s">
        <v>873</v>
      </c>
      <c r="H68" s="52">
        <v>13000</v>
      </c>
      <c r="I68" s="52" t="s">
        <v>874</v>
      </c>
      <c r="J68" s="52" t="s">
        <v>12</v>
      </c>
      <c r="K68" s="52" t="s">
        <v>13</v>
      </c>
      <c r="L68" s="6">
        <f t="shared" si="2"/>
        <v>8.7138317444388699E-2</v>
      </c>
      <c r="M68" s="6">
        <v>8.7499999999999994E-2</v>
      </c>
      <c r="N68" s="6">
        <f t="shared" si="3"/>
        <v>0.1075</v>
      </c>
    </row>
    <row r="69" spans="1:14" x14ac:dyDescent="0.35">
      <c r="A69" s="52" t="s">
        <v>289</v>
      </c>
      <c r="B69" s="52" t="s">
        <v>646</v>
      </c>
      <c r="C69" s="52" t="s">
        <v>647</v>
      </c>
      <c r="D69" s="52" t="s">
        <v>467</v>
      </c>
      <c r="E69" s="52" t="s">
        <v>756</v>
      </c>
      <c r="F69" s="52" t="s">
        <v>875</v>
      </c>
      <c r="G69" s="52" t="s">
        <v>758</v>
      </c>
      <c r="H69" s="52">
        <v>29000</v>
      </c>
      <c r="I69" s="52" t="s">
        <v>759</v>
      </c>
      <c r="J69" s="52" t="s">
        <v>12</v>
      </c>
      <c r="K69" s="52" t="s">
        <v>13</v>
      </c>
      <c r="L69" s="6">
        <f t="shared" si="2"/>
        <v>8.3302203959656332E-2</v>
      </c>
      <c r="M69" s="6">
        <v>8.2500000000000004E-2</v>
      </c>
      <c r="N69" s="6">
        <f t="shared" si="3"/>
        <v>0.10250000000000001</v>
      </c>
    </row>
    <row r="70" spans="1:14" x14ac:dyDescent="0.35">
      <c r="A70" s="10" t="s">
        <v>289</v>
      </c>
      <c r="B70" s="10" t="s">
        <v>646</v>
      </c>
      <c r="C70" s="10" t="s">
        <v>647</v>
      </c>
      <c r="D70" s="10" t="s">
        <v>467</v>
      </c>
      <c r="E70" s="10" t="s">
        <v>768</v>
      </c>
      <c r="F70" s="10" t="s">
        <v>876</v>
      </c>
      <c r="G70" s="10" t="s">
        <v>770</v>
      </c>
      <c r="H70" s="52">
        <v>42500</v>
      </c>
      <c r="I70" s="10" t="s">
        <v>771</v>
      </c>
      <c r="J70" s="10" t="s">
        <v>12</v>
      </c>
      <c r="K70" s="10" t="s">
        <v>13</v>
      </c>
      <c r="L70" s="6">
        <f t="shared" si="2"/>
        <v>5.3936763794172352E-2</v>
      </c>
      <c r="M70" s="6">
        <v>5.2499999999999998E-2</v>
      </c>
      <c r="N70" s="6">
        <f t="shared" si="3"/>
        <v>7.2499999999999995E-2</v>
      </c>
    </row>
    <row r="71" spans="1:14" x14ac:dyDescent="0.35">
      <c r="A71" s="10" t="s">
        <v>289</v>
      </c>
      <c r="B71" s="10" t="s">
        <v>646</v>
      </c>
      <c r="C71" s="10" t="s">
        <v>647</v>
      </c>
      <c r="D71" s="10" t="s">
        <v>467</v>
      </c>
      <c r="E71" s="10" t="s">
        <v>660</v>
      </c>
      <c r="F71" s="10" t="s">
        <v>877</v>
      </c>
      <c r="G71" s="10" t="s">
        <v>662</v>
      </c>
      <c r="H71" s="52">
        <v>56000</v>
      </c>
      <c r="I71" s="10" t="s">
        <v>663</v>
      </c>
      <c r="J71" s="10" t="s">
        <v>12</v>
      </c>
      <c r="K71" s="10" t="s">
        <v>13</v>
      </c>
      <c r="L71" s="6">
        <f t="shared" si="2"/>
        <v>5.4752980618913982E-2</v>
      </c>
      <c r="M71" s="6">
        <v>5.5E-2</v>
      </c>
      <c r="N71" s="6">
        <f t="shared" si="3"/>
        <v>7.4999999999999997E-2</v>
      </c>
    </row>
    <row r="72" spans="1:14" x14ac:dyDescent="0.35">
      <c r="A72" s="52" t="s">
        <v>289</v>
      </c>
      <c r="B72" s="52" t="s">
        <v>646</v>
      </c>
      <c r="C72" s="52" t="s">
        <v>647</v>
      </c>
      <c r="D72" s="52" t="s">
        <v>467</v>
      </c>
      <c r="E72" s="52" t="s">
        <v>818</v>
      </c>
      <c r="F72" s="52" t="s">
        <v>878</v>
      </c>
      <c r="G72" s="52" t="s">
        <v>820</v>
      </c>
      <c r="H72" s="52">
        <v>113000</v>
      </c>
      <c r="I72" s="52" t="s">
        <v>821</v>
      </c>
      <c r="J72" s="52" t="s">
        <v>12</v>
      </c>
      <c r="K72" s="52" t="s">
        <v>13</v>
      </c>
      <c r="L72" s="6">
        <f t="shared" si="2"/>
        <v>5.5266057787489963E-2</v>
      </c>
      <c r="M72" s="6">
        <v>5.5E-2</v>
      </c>
      <c r="N72" s="6">
        <f t="shared" si="3"/>
        <v>7.4999999999999997E-2</v>
      </c>
    </row>
    <row r="73" spans="1:14" x14ac:dyDescent="0.35">
      <c r="A73" s="10" t="s">
        <v>289</v>
      </c>
      <c r="B73" s="10" t="s">
        <v>646</v>
      </c>
      <c r="C73" s="10" t="s">
        <v>647</v>
      </c>
      <c r="D73" s="10" t="s">
        <v>467</v>
      </c>
      <c r="E73" s="10" t="s">
        <v>827</v>
      </c>
      <c r="F73" s="10" t="s">
        <v>879</v>
      </c>
      <c r="G73" s="10" t="s">
        <v>829</v>
      </c>
      <c r="H73" s="52">
        <v>200000</v>
      </c>
      <c r="I73" s="10" t="s">
        <v>830</v>
      </c>
      <c r="J73" s="10" t="s">
        <v>12</v>
      </c>
      <c r="K73" s="10" t="s">
        <v>13</v>
      </c>
      <c r="L73" s="6">
        <f t="shared" si="2"/>
        <v>6.0377918690221195E-2</v>
      </c>
      <c r="M73" s="6">
        <v>0.06</v>
      </c>
      <c r="N73" s="6">
        <f t="shared" si="3"/>
        <v>0.08</v>
      </c>
    </row>
    <row r="74" spans="1:14" x14ac:dyDescent="0.35">
      <c r="A74" s="52" t="s">
        <v>289</v>
      </c>
      <c r="B74" s="52" t="s">
        <v>646</v>
      </c>
      <c r="C74" s="52" t="s">
        <v>647</v>
      </c>
      <c r="D74" s="52" t="s">
        <v>467</v>
      </c>
      <c r="E74" s="52" t="s">
        <v>850</v>
      </c>
      <c r="F74" s="52" t="s">
        <v>880</v>
      </c>
      <c r="G74" s="52" t="s">
        <v>852</v>
      </c>
      <c r="H74" s="52">
        <v>565000</v>
      </c>
      <c r="I74" s="52" t="s">
        <v>853</v>
      </c>
      <c r="J74" s="52" t="s">
        <v>12</v>
      </c>
      <c r="K74" s="52" t="s">
        <v>13</v>
      </c>
      <c r="L74" s="6">
        <f t="shared" si="2"/>
        <v>5.5843862183410357E-2</v>
      </c>
      <c r="M74" s="6">
        <v>5.5E-2</v>
      </c>
      <c r="N74" s="6">
        <f t="shared" si="3"/>
        <v>7.4999999999999997E-2</v>
      </c>
    </row>
    <row r="75" spans="1:14" x14ac:dyDescent="0.35">
      <c r="A75" s="10" t="s">
        <v>289</v>
      </c>
      <c r="B75" s="10" t="s">
        <v>646</v>
      </c>
      <c r="C75" s="10" t="s">
        <v>647</v>
      </c>
      <c r="D75" s="10" t="s">
        <v>467</v>
      </c>
      <c r="E75" s="10" t="s">
        <v>854</v>
      </c>
      <c r="F75" s="10" t="s">
        <v>881</v>
      </c>
      <c r="G75" s="10" t="s">
        <v>856</v>
      </c>
      <c r="H75" s="52">
        <v>1150000</v>
      </c>
      <c r="I75" s="10" t="s">
        <v>857</v>
      </c>
      <c r="J75" s="10" t="s">
        <v>12</v>
      </c>
      <c r="K75" s="10" t="s">
        <v>13</v>
      </c>
      <c r="L75" s="6">
        <f t="shared" si="2"/>
        <v>7.4531364168957448E-2</v>
      </c>
      <c r="M75" s="6">
        <v>7.4999999999999997E-2</v>
      </c>
      <c r="N75" s="6">
        <f t="shared" si="3"/>
        <v>9.5000000000000001E-2</v>
      </c>
    </row>
    <row r="76" spans="1:14" x14ac:dyDescent="0.35">
      <c r="A76" s="52" t="s">
        <v>289</v>
      </c>
      <c r="B76" s="52" t="s">
        <v>646</v>
      </c>
      <c r="C76" s="52" t="s">
        <v>647</v>
      </c>
      <c r="D76" s="52" t="s">
        <v>467</v>
      </c>
      <c r="E76" s="52" t="s">
        <v>652</v>
      </c>
      <c r="F76" s="52" t="s">
        <v>882</v>
      </c>
      <c r="G76" s="52" t="s">
        <v>654</v>
      </c>
      <c r="H76" s="52">
        <v>72000</v>
      </c>
      <c r="I76" s="52" t="s">
        <v>655</v>
      </c>
      <c r="J76" s="52" t="s">
        <v>12</v>
      </c>
      <c r="K76" s="52" t="s">
        <v>13</v>
      </c>
      <c r="L76" s="6">
        <f t="shared" si="2"/>
        <v>5.8776818669764572E-2</v>
      </c>
      <c r="M76" s="6">
        <v>0.06</v>
      </c>
      <c r="N76" s="6">
        <f t="shared" si="3"/>
        <v>0.08</v>
      </c>
    </row>
    <row r="77" spans="1:14" x14ac:dyDescent="0.35">
      <c r="A77" s="10" t="s">
        <v>289</v>
      </c>
      <c r="B77" s="10" t="s">
        <v>646</v>
      </c>
      <c r="C77" s="10" t="s">
        <v>647</v>
      </c>
      <c r="D77" s="10" t="s">
        <v>467</v>
      </c>
      <c r="E77" s="10" t="s">
        <v>681</v>
      </c>
      <c r="F77" s="10" t="s">
        <v>883</v>
      </c>
      <c r="G77" s="10" t="s">
        <v>683</v>
      </c>
      <c r="H77" s="52">
        <v>145000</v>
      </c>
      <c r="I77" s="10" t="s">
        <v>684</v>
      </c>
      <c r="J77" s="10" t="s">
        <v>12</v>
      </c>
      <c r="K77" s="10" t="s">
        <v>13</v>
      </c>
      <c r="L77" s="6">
        <f t="shared" si="2"/>
        <v>6.8021949692483333E-2</v>
      </c>
      <c r="M77" s="6">
        <v>7.0000000000000007E-2</v>
      </c>
      <c r="N77" s="6">
        <f t="shared" si="3"/>
        <v>9.0000000000000011E-2</v>
      </c>
    </row>
    <row r="78" spans="1:14" x14ac:dyDescent="0.35">
      <c r="A78" s="52" t="s">
        <v>289</v>
      </c>
      <c r="B78" s="52" t="s">
        <v>646</v>
      </c>
      <c r="C78" s="52" t="s">
        <v>647</v>
      </c>
      <c r="D78" s="52" t="s">
        <v>467</v>
      </c>
      <c r="E78" s="52" t="s">
        <v>697</v>
      </c>
      <c r="F78" s="52" t="s">
        <v>884</v>
      </c>
      <c r="G78" s="52" t="s">
        <v>699</v>
      </c>
      <c r="H78" s="52">
        <v>288000</v>
      </c>
      <c r="I78" s="52" t="s">
        <v>700</v>
      </c>
      <c r="J78" s="52" t="s">
        <v>12</v>
      </c>
      <c r="K78" s="52" t="s">
        <v>13</v>
      </c>
      <c r="L78" s="6">
        <f t="shared" si="2"/>
        <v>5.8780711074184498E-2</v>
      </c>
      <c r="M78" s="6">
        <v>0.06</v>
      </c>
      <c r="N78" s="6">
        <f t="shared" si="3"/>
        <v>0.08</v>
      </c>
    </row>
    <row r="79" spans="1:14" x14ac:dyDescent="0.35">
      <c r="A79" s="10" t="s">
        <v>289</v>
      </c>
      <c r="B79" s="10" t="s">
        <v>646</v>
      </c>
      <c r="C79" s="10" t="s">
        <v>647</v>
      </c>
      <c r="D79" s="10" t="s">
        <v>467</v>
      </c>
      <c r="E79" s="10" t="s">
        <v>730</v>
      </c>
      <c r="F79" s="10" t="s">
        <v>885</v>
      </c>
      <c r="G79" s="10" t="s">
        <v>732</v>
      </c>
      <c r="H79" s="52">
        <v>430000</v>
      </c>
      <c r="I79" s="10" t="s">
        <v>733</v>
      </c>
      <c r="J79" s="10" t="s">
        <v>12</v>
      </c>
      <c r="K79" s="10" t="s">
        <v>13</v>
      </c>
      <c r="L79" s="6">
        <f t="shared" si="2"/>
        <v>5.3877657058406879E-2</v>
      </c>
      <c r="M79" s="6">
        <v>5.5E-2</v>
      </c>
      <c r="N79" s="6">
        <f t="shared" si="3"/>
        <v>7.4999999999999997E-2</v>
      </c>
    </row>
    <row r="80" spans="1:14" x14ac:dyDescent="0.35">
      <c r="A80" s="52" t="s">
        <v>289</v>
      </c>
      <c r="B80" s="52" t="s">
        <v>646</v>
      </c>
      <c r="C80" s="52" t="s">
        <v>647</v>
      </c>
      <c r="D80" s="52" t="s">
        <v>467</v>
      </c>
      <c r="E80" s="52" t="s">
        <v>760</v>
      </c>
      <c r="F80" s="52" t="s">
        <v>886</v>
      </c>
      <c r="G80" s="52" t="s">
        <v>762</v>
      </c>
      <c r="H80" s="52">
        <v>715000</v>
      </c>
      <c r="I80" s="52" t="s">
        <v>763</v>
      </c>
      <c r="J80" s="52" t="s">
        <v>12</v>
      </c>
      <c r="K80" s="52" t="s">
        <v>13</v>
      </c>
      <c r="L80" s="6">
        <f t="shared" si="2"/>
        <v>5.1425748019569756E-2</v>
      </c>
      <c r="M80" s="6">
        <v>0.05</v>
      </c>
      <c r="N80" s="6">
        <f t="shared" si="3"/>
        <v>7.0000000000000007E-2</v>
      </c>
    </row>
    <row r="81" spans="1:14" x14ac:dyDescent="0.35">
      <c r="A81" s="10" t="s">
        <v>289</v>
      </c>
      <c r="B81" s="10" t="s">
        <v>646</v>
      </c>
      <c r="C81" s="10" t="s">
        <v>647</v>
      </c>
      <c r="D81" s="10" t="s">
        <v>467</v>
      </c>
      <c r="E81" s="10" t="s">
        <v>751</v>
      </c>
      <c r="F81" s="10" t="s">
        <v>887</v>
      </c>
      <c r="G81" s="10" t="s">
        <v>753</v>
      </c>
      <c r="H81" s="52">
        <v>1070000</v>
      </c>
      <c r="I81" s="10" t="s">
        <v>754</v>
      </c>
      <c r="J81" s="10" t="s">
        <v>12</v>
      </c>
      <c r="K81" s="10" t="s">
        <v>13</v>
      </c>
      <c r="L81" s="6">
        <f t="shared" si="2"/>
        <v>4.9418798523359869E-2</v>
      </c>
      <c r="M81" s="6">
        <v>0.05</v>
      </c>
      <c r="N81" s="6">
        <f t="shared" si="3"/>
        <v>7.0000000000000007E-2</v>
      </c>
    </row>
    <row r="82" spans="1:14" x14ac:dyDescent="0.35">
      <c r="A82" s="52" t="s">
        <v>289</v>
      </c>
      <c r="B82" s="52" t="s">
        <v>646</v>
      </c>
      <c r="C82" s="52" t="s">
        <v>647</v>
      </c>
      <c r="D82" s="52" t="s">
        <v>467</v>
      </c>
      <c r="E82" s="52" t="s">
        <v>773</v>
      </c>
      <c r="F82" s="52" t="s">
        <v>888</v>
      </c>
      <c r="G82" s="52" t="s">
        <v>775</v>
      </c>
      <c r="H82" s="52">
        <v>52500</v>
      </c>
      <c r="I82" s="52" t="s">
        <v>776</v>
      </c>
      <c r="J82" s="52" t="s">
        <v>12</v>
      </c>
      <c r="K82" s="52" t="s">
        <v>13</v>
      </c>
      <c r="L82" s="6">
        <f t="shared" si="2"/>
        <v>5.4322723164976404E-2</v>
      </c>
      <c r="M82" s="6">
        <v>5.5E-2</v>
      </c>
      <c r="N82" s="6">
        <f t="shared" si="3"/>
        <v>7.4999999999999997E-2</v>
      </c>
    </row>
    <row r="83" spans="1:14" x14ac:dyDescent="0.35">
      <c r="A83" s="10" t="s">
        <v>289</v>
      </c>
      <c r="B83" s="10" t="s">
        <v>646</v>
      </c>
      <c r="C83" s="10" t="s">
        <v>647</v>
      </c>
      <c r="D83" s="10" t="s">
        <v>467</v>
      </c>
      <c r="E83" s="10" t="s">
        <v>790</v>
      </c>
      <c r="F83" s="10" t="s">
        <v>889</v>
      </c>
      <c r="G83" s="10" t="s">
        <v>792</v>
      </c>
      <c r="H83" s="52">
        <v>70000</v>
      </c>
      <c r="I83" s="10" t="s">
        <v>793</v>
      </c>
      <c r="J83" s="10" t="s">
        <v>12</v>
      </c>
      <c r="K83" s="10" t="s">
        <v>13</v>
      </c>
      <c r="L83" s="6">
        <f t="shared" si="2"/>
        <v>5.92418854505561E-2</v>
      </c>
      <c r="M83" s="6">
        <v>0.06</v>
      </c>
      <c r="N83" s="6">
        <f t="shared" si="3"/>
        <v>0.08</v>
      </c>
    </row>
    <row r="84" spans="1:14" x14ac:dyDescent="0.35">
      <c r="A84" s="52" t="s">
        <v>289</v>
      </c>
      <c r="B84" s="52" t="s">
        <v>646</v>
      </c>
      <c r="C84" s="52" t="s">
        <v>647</v>
      </c>
      <c r="D84" s="52" t="s">
        <v>467</v>
      </c>
      <c r="E84" s="52" t="s">
        <v>802</v>
      </c>
      <c r="F84" s="52" t="s">
        <v>890</v>
      </c>
      <c r="G84" s="52" t="s">
        <v>804</v>
      </c>
      <c r="H84" s="52">
        <v>84000</v>
      </c>
      <c r="I84" s="52" t="s">
        <v>805</v>
      </c>
      <c r="J84" s="52" t="s">
        <v>12</v>
      </c>
      <c r="K84" s="52" t="s">
        <v>13</v>
      </c>
      <c r="L84" s="6">
        <f t="shared" si="2"/>
        <v>5.7761323712742244E-2</v>
      </c>
      <c r="M84" s="6">
        <v>5.7500000000000002E-2</v>
      </c>
      <c r="N84" s="6">
        <f t="shared" si="3"/>
        <v>7.7499999999999999E-2</v>
      </c>
    </row>
    <row r="85" spans="1:14" x14ac:dyDescent="0.35">
      <c r="A85" s="10" t="s">
        <v>289</v>
      </c>
      <c r="B85" s="10" t="s">
        <v>646</v>
      </c>
      <c r="C85" s="10" t="s">
        <v>647</v>
      </c>
      <c r="D85" s="10" t="s">
        <v>467</v>
      </c>
      <c r="E85" s="10" t="s">
        <v>806</v>
      </c>
      <c r="F85" s="10" t="s">
        <v>891</v>
      </c>
      <c r="G85" s="10" t="s">
        <v>808</v>
      </c>
      <c r="H85" s="52">
        <v>105000</v>
      </c>
      <c r="I85" s="10" t="s">
        <v>809</v>
      </c>
      <c r="J85" s="10" t="s">
        <v>12</v>
      </c>
      <c r="K85" s="10" t="s">
        <v>13</v>
      </c>
      <c r="L85" s="6">
        <f t="shared" si="2"/>
        <v>5.870253483635484E-2</v>
      </c>
      <c r="M85" s="6">
        <v>0.06</v>
      </c>
      <c r="N85" s="6">
        <f t="shared" si="3"/>
        <v>0.08</v>
      </c>
    </row>
    <row r="86" spans="1:14" x14ac:dyDescent="0.35">
      <c r="A86" s="52" t="s">
        <v>289</v>
      </c>
      <c r="B86" s="52" t="s">
        <v>646</v>
      </c>
      <c r="C86" s="52" t="s">
        <v>647</v>
      </c>
      <c r="D86" s="52" t="s">
        <v>467</v>
      </c>
      <c r="E86" s="52" t="s">
        <v>810</v>
      </c>
      <c r="F86" s="52" t="s">
        <v>892</v>
      </c>
      <c r="G86" s="52" t="s">
        <v>812</v>
      </c>
      <c r="H86" s="52">
        <v>140000</v>
      </c>
      <c r="I86" s="52" t="s">
        <v>813</v>
      </c>
      <c r="J86" s="52" t="s">
        <v>12</v>
      </c>
      <c r="K86" s="52" t="s">
        <v>13</v>
      </c>
      <c r="L86" s="6">
        <f t="shared" si="2"/>
        <v>5.7769315623252791E-2</v>
      </c>
      <c r="M86" s="6">
        <v>5.7500000000000002E-2</v>
      </c>
      <c r="N86" s="6">
        <f t="shared" si="3"/>
        <v>7.7499999999999999E-2</v>
      </c>
    </row>
    <row r="87" spans="1:14" x14ac:dyDescent="0.35">
      <c r="A87" s="10" t="s">
        <v>289</v>
      </c>
      <c r="B87" s="10" t="s">
        <v>646</v>
      </c>
      <c r="C87" s="10" t="s">
        <v>647</v>
      </c>
      <c r="D87" s="10" t="s">
        <v>467</v>
      </c>
      <c r="E87" s="10" t="s">
        <v>836</v>
      </c>
      <c r="F87" s="10" t="s">
        <v>893</v>
      </c>
      <c r="G87" s="10" t="s">
        <v>838</v>
      </c>
      <c r="H87" s="52">
        <v>350000</v>
      </c>
      <c r="I87" s="10" t="s">
        <v>839</v>
      </c>
      <c r="J87" s="10" t="s">
        <v>12</v>
      </c>
      <c r="K87" s="10" t="s">
        <v>13</v>
      </c>
      <c r="L87" s="6">
        <f t="shared" si="2"/>
        <v>5.7472097843361193E-2</v>
      </c>
      <c r="M87" s="6">
        <v>5.7500000000000002E-2</v>
      </c>
      <c r="N87" s="6">
        <f t="shared" si="3"/>
        <v>7.7499999999999999E-2</v>
      </c>
    </row>
    <row r="88" spans="1:14" x14ac:dyDescent="0.35">
      <c r="A88" s="10" t="s">
        <v>289</v>
      </c>
      <c r="B88" s="10" t="s">
        <v>646</v>
      </c>
      <c r="C88" s="10" t="s">
        <v>647</v>
      </c>
      <c r="D88" s="10" t="s">
        <v>467</v>
      </c>
      <c r="E88" s="10" t="s">
        <v>894</v>
      </c>
      <c r="F88" s="10" t="s">
        <v>895</v>
      </c>
      <c r="G88" s="10" t="s">
        <v>896</v>
      </c>
      <c r="H88" s="10">
        <v>48500</v>
      </c>
      <c r="I88" s="10" t="s">
        <v>897</v>
      </c>
      <c r="J88" s="10" t="s">
        <v>12</v>
      </c>
      <c r="K88" s="10" t="s">
        <v>13</v>
      </c>
      <c r="L88" s="6">
        <f t="shared" si="2"/>
        <v>8.1551189706308674E-2</v>
      </c>
      <c r="M88" s="6">
        <v>0.08</v>
      </c>
      <c r="N88" s="6">
        <f t="shared" si="3"/>
        <v>0.1</v>
      </c>
    </row>
    <row r="89" spans="1:14" x14ac:dyDescent="0.35">
      <c r="A89" s="10" t="s">
        <v>289</v>
      </c>
      <c r="B89" s="10" t="s">
        <v>646</v>
      </c>
      <c r="C89" s="10" t="s">
        <v>647</v>
      </c>
      <c r="D89" s="10" t="s">
        <v>467</v>
      </c>
      <c r="E89" s="10" t="s">
        <v>898</v>
      </c>
      <c r="F89" s="10" t="s">
        <v>899</v>
      </c>
      <c r="G89" s="10" t="s">
        <v>900</v>
      </c>
      <c r="H89" s="52">
        <v>61000</v>
      </c>
      <c r="I89" s="10" t="s">
        <v>901</v>
      </c>
      <c r="J89" s="10" t="s">
        <v>12</v>
      </c>
      <c r="K89" s="10" t="s">
        <v>13</v>
      </c>
      <c r="L89" s="6">
        <f t="shared" si="2"/>
        <v>4.3341429206718435E-2</v>
      </c>
      <c r="M89" s="6">
        <v>4.4999999999999998E-2</v>
      </c>
      <c r="N89" s="6">
        <f t="shared" si="3"/>
        <v>6.5000000000000002E-2</v>
      </c>
    </row>
    <row r="90" spans="1:14" x14ac:dyDescent="0.35">
      <c r="A90" s="52" t="s">
        <v>289</v>
      </c>
      <c r="B90" s="52" t="s">
        <v>646</v>
      </c>
      <c r="C90" s="52" t="s">
        <v>647</v>
      </c>
      <c r="D90" s="52" t="s">
        <v>467</v>
      </c>
      <c r="E90" s="52" t="s">
        <v>664</v>
      </c>
      <c r="F90" s="52" t="s">
        <v>902</v>
      </c>
      <c r="G90" s="52" t="s">
        <v>666</v>
      </c>
      <c r="H90" s="52">
        <v>23000</v>
      </c>
      <c r="I90" s="52" t="s">
        <v>667</v>
      </c>
      <c r="J90" s="52" t="s">
        <v>12</v>
      </c>
      <c r="K90" s="52" t="s">
        <v>13</v>
      </c>
      <c r="L90" s="6">
        <f t="shared" si="2"/>
        <v>6.7186340014847815E-2</v>
      </c>
      <c r="M90" s="6">
        <v>6.7500000000000004E-2</v>
      </c>
      <c r="N90" s="6">
        <f t="shared" si="3"/>
        <v>8.7500000000000008E-2</v>
      </c>
    </row>
    <row r="91" spans="1:14" x14ac:dyDescent="0.35">
      <c r="A91" s="10" t="s">
        <v>289</v>
      </c>
      <c r="B91" s="10" t="s">
        <v>646</v>
      </c>
      <c r="C91" s="10" t="s">
        <v>647</v>
      </c>
      <c r="D91" s="10" t="s">
        <v>467</v>
      </c>
      <c r="E91" s="10" t="s">
        <v>656</v>
      </c>
      <c r="F91" s="10" t="s">
        <v>903</v>
      </c>
      <c r="G91" s="10" t="s">
        <v>658</v>
      </c>
      <c r="H91" s="52">
        <v>36500</v>
      </c>
      <c r="I91" s="10" t="s">
        <v>659</v>
      </c>
      <c r="J91" s="10" t="s">
        <v>12</v>
      </c>
      <c r="K91" s="10" t="s">
        <v>13</v>
      </c>
      <c r="L91" s="6">
        <f t="shared" si="2"/>
        <v>5.9629565116414096E-2</v>
      </c>
      <c r="M91" s="6">
        <v>0.06</v>
      </c>
      <c r="N91" s="6">
        <f t="shared" si="3"/>
        <v>0.08</v>
      </c>
    </row>
    <row r="92" spans="1:14" x14ac:dyDescent="0.35">
      <c r="A92" s="52" t="s">
        <v>289</v>
      </c>
      <c r="B92" s="52" t="s">
        <v>646</v>
      </c>
      <c r="C92" s="52" t="s">
        <v>647</v>
      </c>
      <c r="D92" s="52" t="s">
        <v>467</v>
      </c>
      <c r="E92" s="52" t="s">
        <v>675</v>
      </c>
      <c r="F92" s="52" t="s">
        <v>904</v>
      </c>
      <c r="G92" s="52" t="s">
        <v>677</v>
      </c>
      <c r="H92" s="52">
        <v>45500</v>
      </c>
      <c r="I92" s="52" t="s">
        <v>678</v>
      </c>
      <c r="J92" s="52" t="s">
        <v>12</v>
      </c>
      <c r="K92" s="52" t="s">
        <v>13</v>
      </c>
      <c r="L92" s="6">
        <f t="shared" si="2"/>
        <v>5.558648849294729E-2</v>
      </c>
      <c r="M92" s="6">
        <v>5.5E-2</v>
      </c>
      <c r="N92" s="6">
        <f t="shared" si="3"/>
        <v>7.4999999999999997E-2</v>
      </c>
    </row>
    <row r="93" spans="1:14" x14ac:dyDescent="0.35">
      <c r="A93" s="10" t="s">
        <v>289</v>
      </c>
      <c r="B93" s="10" t="s">
        <v>646</v>
      </c>
      <c r="C93" s="10" t="s">
        <v>647</v>
      </c>
      <c r="D93" s="10" t="s">
        <v>467</v>
      </c>
      <c r="E93" s="10" t="s">
        <v>689</v>
      </c>
      <c r="F93" s="10" t="s">
        <v>905</v>
      </c>
      <c r="G93" s="10" t="s">
        <v>691</v>
      </c>
      <c r="H93" s="52">
        <v>73000</v>
      </c>
      <c r="I93" s="10" t="s">
        <v>692</v>
      </c>
      <c r="J93" s="10" t="s">
        <v>12</v>
      </c>
      <c r="K93" s="10" t="s">
        <v>13</v>
      </c>
      <c r="L93" s="6">
        <f t="shared" si="2"/>
        <v>5.5874567886949104E-2</v>
      </c>
      <c r="M93" s="6">
        <v>5.5E-2</v>
      </c>
      <c r="N93" s="6">
        <f t="shared" si="3"/>
        <v>7.4999999999999997E-2</v>
      </c>
    </row>
    <row r="94" spans="1:14" x14ac:dyDescent="0.35">
      <c r="A94" s="52" t="s">
        <v>289</v>
      </c>
      <c r="B94" s="52" t="s">
        <v>646</v>
      </c>
      <c r="C94" s="52" t="s">
        <v>647</v>
      </c>
      <c r="D94" s="52" t="s">
        <v>467</v>
      </c>
      <c r="E94" s="52" t="s">
        <v>693</v>
      </c>
      <c r="F94" s="52" t="s">
        <v>906</v>
      </c>
      <c r="G94" s="52" t="s">
        <v>695</v>
      </c>
      <c r="H94" s="52">
        <v>92500</v>
      </c>
      <c r="I94" s="52" t="s">
        <v>702</v>
      </c>
      <c r="J94" s="52" t="s">
        <v>12</v>
      </c>
      <c r="K94" s="52" t="s">
        <v>13</v>
      </c>
      <c r="L94" s="6">
        <f t="shared" si="2"/>
        <v>5.5430044955614891E-2</v>
      </c>
      <c r="M94" s="6">
        <v>5.5E-2</v>
      </c>
      <c r="N94" s="6">
        <f t="shared" si="3"/>
        <v>7.4999999999999997E-2</v>
      </c>
    </row>
    <row r="95" spans="1:14" x14ac:dyDescent="0.35">
      <c r="A95" s="10" t="s">
        <v>289</v>
      </c>
      <c r="B95" s="10" t="s">
        <v>646</v>
      </c>
      <c r="C95" s="10" t="s">
        <v>647</v>
      </c>
      <c r="D95" s="10" t="s">
        <v>467</v>
      </c>
      <c r="E95" s="10" t="s">
        <v>714</v>
      </c>
      <c r="F95" s="10" t="s">
        <v>907</v>
      </c>
      <c r="G95" s="10" t="s">
        <v>716</v>
      </c>
      <c r="H95" s="52">
        <v>110000</v>
      </c>
      <c r="I95" s="10" t="s">
        <v>717</v>
      </c>
      <c r="J95" s="10" t="s">
        <v>12</v>
      </c>
      <c r="K95" s="10" t="s">
        <v>13</v>
      </c>
      <c r="L95" s="6">
        <f t="shared" si="2"/>
        <v>6.0690798989450949E-2</v>
      </c>
      <c r="M95" s="6">
        <v>0.06</v>
      </c>
      <c r="N95" s="6">
        <f t="shared" si="3"/>
        <v>0.08</v>
      </c>
    </row>
    <row r="96" spans="1:14" x14ac:dyDescent="0.35">
      <c r="A96" s="52" t="s">
        <v>289</v>
      </c>
      <c r="B96" s="52" t="s">
        <v>646</v>
      </c>
      <c r="C96" s="52" t="s">
        <v>647</v>
      </c>
      <c r="D96" s="52" t="s">
        <v>467</v>
      </c>
      <c r="E96" s="52" t="s">
        <v>737</v>
      </c>
      <c r="F96" s="52" t="s">
        <v>908</v>
      </c>
      <c r="G96" s="52" t="s">
        <v>739</v>
      </c>
      <c r="H96" s="52">
        <v>220000</v>
      </c>
      <c r="I96" s="52" t="s">
        <v>740</v>
      </c>
      <c r="J96" s="52" t="s">
        <v>12</v>
      </c>
      <c r="K96" s="52" t="s">
        <v>13</v>
      </c>
      <c r="L96" s="6">
        <f t="shared" si="2"/>
        <v>5.234960967396296E-2</v>
      </c>
      <c r="M96" s="6">
        <v>5.2499999999999998E-2</v>
      </c>
      <c r="N96" s="6">
        <f t="shared" si="3"/>
        <v>7.2499999999999995E-2</v>
      </c>
    </row>
    <row r="97" spans="1:14" x14ac:dyDescent="0.35">
      <c r="A97" s="10" t="s">
        <v>289</v>
      </c>
      <c r="B97" s="10" t="s">
        <v>646</v>
      </c>
      <c r="C97" s="10" t="s">
        <v>647</v>
      </c>
      <c r="D97" s="10" t="s">
        <v>467</v>
      </c>
      <c r="E97" s="10" t="s">
        <v>747</v>
      </c>
      <c r="F97" s="10" t="s">
        <v>909</v>
      </c>
      <c r="G97" s="10" t="s">
        <v>749</v>
      </c>
      <c r="H97" s="52">
        <v>230000</v>
      </c>
      <c r="I97" s="10" t="s">
        <v>910</v>
      </c>
      <c r="J97" s="10" t="s">
        <v>12</v>
      </c>
      <c r="K97" s="10" t="s">
        <v>13</v>
      </c>
      <c r="L97" s="6">
        <f t="shared" si="2"/>
        <v>6.76470451707539E-2</v>
      </c>
      <c r="M97" s="6">
        <v>6.7500000000000004E-2</v>
      </c>
      <c r="N97" s="6">
        <f t="shared" si="3"/>
        <v>8.7500000000000008E-2</v>
      </c>
    </row>
    <row r="98" spans="1:14" x14ac:dyDescent="0.35">
      <c r="A98" s="52" t="s">
        <v>289</v>
      </c>
      <c r="B98" s="52" t="s">
        <v>646</v>
      </c>
      <c r="C98" s="52" t="s">
        <v>647</v>
      </c>
      <c r="D98" s="52" t="s">
        <v>467</v>
      </c>
      <c r="E98" s="52" t="s">
        <v>777</v>
      </c>
      <c r="F98" s="52" t="s">
        <v>911</v>
      </c>
      <c r="G98" s="52" t="s">
        <v>779</v>
      </c>
      <c r="H98" s="52">
        <v>365000</v>
      </c>
      <c r="I98" s="52" t="s">
        <v>780</v>
      </c>
      <c r="J98" s="52" t="s">
        <v>12</v>
      </c>
      <c r="K98" s="52" t="s">
        <v>13</v>
      </c>
      <c r="L98" s="6">
        <f t="shared" si="2"/>
        <v>5.8944015225584089E-2</v>
      </c>
      <c r="M98" s="6">
        <v>0.06</v>
      </c>
      <c r="N98" s="6">
        <f t="shared" si="3"/>
        <v>0.08</v>
      </c>
    </row>
    <row r="99" spans="1:14" x14ac:dyDescent="0.35">
      <c r="A99" s="10" t="s">
        <v>289</v>
      </c>
      <c r="B99" s="10" t="s">
        <v>646</v>
      </c>
      <c r="C99" s="10" t="s">
        <v>647</v>
      </c>
      <c r="D99" s="10" t="s">
        <v>467</v>
      </c>
      <c r="E99" s="10" t="s">
        <v>786</v>
      </c>
      <c r="F99" s="10" t="s">
        <v>912</v>
      </c>
      <c r="G99" s="10" t="s">
        <v>788</v>
      </c>
      <c r="H99" s="52">
        <v>450000</v>
      </c>
      <c r="I99" s="10" t="s">
        <v>795</v>
      </c>
      <c r="J99" s="10" t="s">
        <v>12</v>
      </c>
      <c r="K99" s="10" t="s">
        <v>13</v>
      </c>
      <c r="L99" s="6">
        <f t="shared" si="2"/>
        <v>7.2276180218649025E-2</v>
      </c>
      <c r="M99" s="6">
        <v>7.2499999999999995E-2</v>
      </c>
      <c r="N99" s="6">
        <f t="shared" si="3"/>
        <v>9.2499999999999999E-2</v>
      </c>
    </row>
    <row r="100" spans="1:14" x14ac:dyDescent="0.35">
      <c r="A100" s="52" t="s">
        <v>289</v>
      </c>
      <c r="B100" s="52" t="s">
        <v>646</v>
      </c>
      <c r="C100" s="52" t="s">
        <v>647</v>
      </c>
      <c r="D100" s="52" t="s">
        <v>467</v>
      </c>
      <c r="E100" s="52" t="s">
        <v>814</v>
      </c>
      <c r="F100" s="52" t="s">
        <v>913</v>
      </c>
      <c r="G100" s="52" t="s">
        <v>816</v>
      </c>
      <c r="H100" s="52">
        <v>925000</v>
      </c>
      <c r="I100" s="52" t="s">
        <v>817</v>
      </c>
      <c r="J100" s="52" t="s">
        <v>12</v>
      </c>
      <c r="K100" s="52" t="s">
        <v>13</v>
      </c>
      <c r="L100" s="6">
        <f t="shared" si="2"/>
        <v>5.5431249208426563E-2</v>
      </c>
      <c r="M100" s="6">
        <v>5.5E-2</v>
      </c>
      <c r="N100" s="6">
        <f t="shared" si="3"/>
        <v>7.4999999999999997E-2</v>
      </c>
    </row>
    <row r="101" spans="1:14" x14ac:dyDescent="0.35">
      <c r="A101" s="52" t="s">
        <v>289</v>
      </c>
      <c r="B101" s="52" t="s">
        <v>646</v>
      </c>
      <c r="C101" s="52" t="s">
        <v>647</v>
      </c>
      <c r="D101" s="52" t="s">
        <v>467</v>
      </c>
      <c r="E101" s="52" t="s">
        <v>914</v>
      </c>
      <c r="F101" s="52" t="s">
        <v>915</v>
      </c>
      <c r="G101" s="52" t="s">
        <v>916</v>
      </c>
      <c r="H101" s="52">
        <v>94000</v>
      </c>
      <c r="I101" s="52" t="s">
        <v>917</v>
      </c>
      <c r="J101" s="52" t="s">
        <v>12</v>
      </c>
      <c r="K101" s="52" t="s">
        <v>13</v>
      </c>
      <c r="L101" s="6">
        <f t="shared" si="2"/>
        <v>5.6927937753690816E-2</v>
      </c>
      <c r="M101" s="6">
        <v>5.7000000000000002E-2</v>
      </c>
      <c r="N101" s="6">
        <f t="shared" si="3"/>
        <v>7.6999999999999999E-2</v>
      </c>
    </row>
    <row r="102" spans="1:14" x14ac:dyDescent="0.35">
      <c r="A102" s="52" t="s">
        <v>289</v>
      </c>
      <c r="B102" s="52" t="s">
        <v>646</v>
      </c>
      <c r="C102" s="52" t="s">
        <v>647</v>
      </c>
      <c r="D102" s="52" t="s">
        <v>467</v>
      </c>
      <c r="E102" s="52" t="s">
        <v>918</v>
      </c>
      <c r="F102" s="52" t="s">
        <v>919</v>
      </c>
      <c r="G102" s="52" t="s">
        <v>920</v>
      </c>
      <c r="H102" s="52">
        <v>105000</v>
      </c>
      <c r="I102" s="52" t="s">
        <v>921</v>
      </c>
      <c r="J102" s="52" t="s">
        <v>12</v>
      </c>
      <c r="K102" s="52" t="s">
        <v>13</v>
      </c>
      <c r="L102" s="6">
        <f t="shared" si="2"/>
        <v>6.3786675312044086E-2</v>
      </c>
      <c r="M102" s="6">
        <v>6.5000000000000002E-2</v>
      </c>
      <c r="N102" s="6">
        <f t="shared" si="3"/>
        <v>8.5000000000000006E-2</v>
      </c>
    </row>
    <row r="103" spans="1:14" x14ac:dyDescent="0.35">
      <c r="A103" s="52" t="s">
        <v>289</v>
      </c>
      <c r="B103" s="52" t="s">
        <v>646</v>
      </c>
      <c r="C103" s="52" t="s">
        <v>647</v>
      </c>
      <c r="D103" s="52" t="s">
        <v>467</v>
      </c>
      <c r="E103" s="52" t="s">
        <v>922</v>
      </c>
      <c r="F103" s="52" t="s">
        <v>923</v>
      </c>
      <c r="G103" s="52" t="s">
        <v>924</v>
      </c>
      <c r="H103" s="52">
        <v>207000</v>
      </c>
      <c r="I103" s="52" t="s">
        <v>925</v>
      </c>
      <c r="J103" s="52" t="s">
        <v>12</v>
      </c>
      <c r="K103" s="52" t="s">
        <v>13</v>
      </c>
      <c r="L103" s="6">
        <f t="shared" si="2"/>
        <v>5.0148390533444942E-2</v>
      </c>
      <c r="M103" s="6">
        <v>0.05</v>
      </c>
      <c r="N103" s="6">
        <f t="shared" si="3"/>
        <v>7.0000000000000007E-2</v>
      </c>
    </row>
    <row r="104" spans="1:14" x14ac:dyDescent="0.35">
      <c r="A104" s="52" t="s">
        <v>289</v>
      </c>
      <c r="B104" s="52" t="s">
        <v>646</v>
      </c>
      <c r="C104" s="52" t="s">
        <v>647</v>
      </c>
      <c r="D104" s="52" t="s">
        <v>467</v>
      </c>
      <c r="E104" s="52" t="s">
        <v>926</v>
      </c>
      <c r="F104" s="52" t="s">
        <v>927</v>
      </c>
      <c r="G104" s="52" t="s">
        <v>928</v>
      </c>
      <c r="H104" s="52">
        <v>415000</v>
      </c>
      <c r="I104" s="52" t="s">
        <v>929</v>
      </c>
      <c r="J104" s="52" t="s">
        <v>12</v>
      </c>
      <c r="K104" s="52" t="s">
        <v>13</v>
      </c>
      <c r="L104" s="6">
        <f t="shared" si="2"/>
        <v>5.1620636091113427E-2</v>
      </c>
      <c r="M104" s="6">
        <v>0.05</v>
      </c>
      <c r="N104" s="6">
        <f t="shared" si="3"/>
        <v>7.0000000000000007E-2</v>
      </c>
    </row>
    <row r="105" spans="1:14" x14ac:dyDescent="0.35">
      <c r="A105" s="52" t="s">
        <v>289</v>
      </c>
      <c r="B105" s="52" t="s">
        <v>646</v>
      </c>
      <c r="C105" s="52" t="s">
        <v>647</v>
      </c>
      <c r="D105" s="52" t="s">
        <v>467</v>
      </c>
      <c r="E105" s="52" t="s">
        <v>930</v>
      </c>
      <c r="F105" s="52" t="s">
        <v>931</v>
      </c>
      <c r="G105" s="52" t="s">
        <v>932</v>
      </c>
      <c r="H105" s="52">
        <v>625000</v>
      </c>
      <c r="I105" s="52" t="s">
        <v>933</v>
      </c>
      <c r="J105" s="52" t="s">
        <v>12</v>
      </c>
      <c r="K105" s="52" t="s">
        <v>13</v>
      </c>
      <c r="L105" s="6">
        <f t="shared" si="2"/>
        <v>5.6707131505089103E-2</v>
      </c>
      <c r="M105" s="65">
        <v>5.5E-2</v>
      </c>
      <c r="N105" s="6">
        <f t="shared" si="3"/>
        <v>7.4999999999999997E-2</v>
      </c>
    </row>
    <row r="106" spans="1:14" x14ac:dyDescent="0.35">
      <c r="A106" s="52" t="s">
        <v>289</v>
      </c>
      <c r="B106" s="52" t="s">
        <v>646</v>
      </c>
      <c r="C106" s="52" t="s">
        <v>647</v>
      </c>
      <c r="D106" s="52" t="s">
        <v>467</v>
      </c>
      <c r="E106" s="52" t="s">
        <v>934</v>
      </c>
      <c r="F106" s="52" t="s">
        <v>935</v>
      </c>
      <c r="G106" s="52" t="s">
        <v>936</v>
      </c>
      <c r="H106" s="52">
        <v>1050000</v>
      </c>
      <c r="I106" s="52" t="s">
        <v>937</v>
      </c>
      <c r="J106" s="52" t="s">
        <v>12</v>
      </c>
      <c r="K106" s="52" t="s">
        <v>13</v>
      </c>
      <c r="L106" s="6">
        <f t="shared" si="2"/>
        <v>6.5506313378598746E-2</v>
      </c>
      <c r="M106" s="6">
        <v>6.5000000000000002E-2</v>
      </c>
      <c r="N106" s="6">
        <f t="shared" si="3"/>
        <v>8.5000000000000006E-2</v>
      </c>
    </row>
    <row r="107" spans="1:14" x14ac:dyDescent="0.35">
      <c r="A107" s="52" t="s">
        <v>289</v>
      </c>
      <c r="B107" s="52" t="s">
        <v>646</v>
      </c>
      <c r="C107" s="52" t="s">
        <v>647</v>
      </c>
      <c r="D107" s="52" t="s">
        <v>467</v>
      </c>
      <c r="E107" s="52" t="s">
        <v>938</v>
      </c>
      <c r="F107" s="52" t="s">
        <v>939</v>
      </c>
      <c r="G107" s="52" t="s">
        <v>940</v>
      </c>
      <c r="H107" s="52">
        <v>96500</v>
      </c>
      <c r="I107" s="52" t="s">
        <v>941</v>
      </c>
      <c r="J107" s="52" t="s">
        <v>12</v>
      </c>
      <c r="K107" s="52" t="s">
        <v>13</v>
      </c>
      <c r="L107" s="6">
        <f t="shared" si="2"/>
        <v>5.0488776643225708E-2</v>
      </c>
      <c r="M107" s="6">
        <v>0.05</v>
      </c>
      <c r="N107" s="6">
        <f t="shared" si="3"/>
        <v>7.0000000000000007E-2</v>
      </c>
    </row>
    <row r="108" spans="1:14" x14ac:dyDescent="0.35">
      <c r="A108" s="10" t="s">
        <v>15</v>
      </c>
      <c r="B108" s="10" t="s">
        <v>646</v>
      </c>
      <c r="C108" s="10" t="s">
        <v>647</v>
      </c>
      <c r="D108" s="10" t="s">
        <v>467</v>
      </c>
      <c r="E108" s="10" t="s">
        <v>938</v>
      </c>
      <c r="F108" s="10" t="s">
        <v>942</v>
      </c>
      <c r="G108" s="10" t="s">
        <v>940</v>
      </c>
      <c r="H108" s="52">
        <v>96500</v>
      </c>
      <c r="I108" s="10" t="s">
        <v>941</v>
      </c>
      <c r="J108" s="10" t="s">
        <v>12</v>
      </c>
      <c r="K108" s="10" t="s">
        <v>13</v>
      </c>
      <c r="L108" s="6">
        <f t="shared" si="2"/>
        <v>5.0488776643225708E-2</v>
      </c>
      <c r="M108" s="6">
        <v>0.05</v>
      </c>
      <c r="N108" s="6">
        <f t="shared" si="3"/>
        <v>7.0000000000000007E-2</v>
      </c>
    </row>
    <row r="109" spans="1:14" x14ac:dyDescent="0.35">
      <c r="A109" s="52" t="s">
        <v>289</v>
      </c>
      <c r="B109" s="52" t="s">
        <v>646</v>
      </c>
      <c r="C109" s="52" t="s">
        <v>647</v>
      </c>
      <c r="D109" s="52" t="s">
        <v>467</v>
      </c>
      <c r="E109" s="52" t="s">
        <v>943</v>
      </c>
      <c r="F109" s="52" t="s">
        <v>944</v>
      </c>
      <c r="G109" s="52" t="s">
        <v>945</v>
      </c>
      <c r="H109" s="52">
        <v>196000</v>
      </c>
      <c r="I109" s="52" t="s">
        <v>946</v>
      </c>
      <c r="J109" s="52" t="s">
        <v>12</v>
      </c>
      <c r="K109" s="52" t="s">
        <v>13</v>
      </c>
      <c r="L109" s="6">
        <f t="shared" si="2"/>
        <v>5.1163788480102973E-2</v>
      </c>
      <c r="M109" s="6">
        <v>0.05</v>
      </c>
      <c r="N109" s="6">
        <f t="shared" si="3"/>
        <v>7.0000000000000007E-2</v>
      </c>
    </row>
    <row r="110" spans="1:14" x14ac:dyDescent="0.35">
      <c r="A110" s="10" t="s">
        <v>15</v>
      </c>
      <c r="B110" s="10" t="s">
        <v>646</v>
      </c>
      <c r="C110" s="10" t="s">
        <v>647</v>
      </c>
      <c r="D110" s="10" t="s">
        <v>467</v>
      </c>
      <c r="E110" s="10" t="s">
        <v>943</v>
      </c>
      <c r="F110" s="10" t="s">
        <v>947</v>
      </c>
      <c r="G110" s="10" t="s">
        <v>945</v>
      </c>
      <c r="H110" s="52">
        <v>196000</v>
      </c>
      <c r="I110" s="10" t="s">
        <v>946</v>
      </c>
      <c r="J110" s="10" t="s">
        <v>12</v>
      </c>
      <c r="K110" s="10" t="s">
        <v>13</v>
      </c>
      <c r="L110" s="6">
        <f t="shared" si="2"/>
        <v>5.1163788480102973E-2</v>
      </c>
      <c r="M110" s="6">
        <v>0.05</v>
      </c>
      <c r="N110" s="6">
        <f t="shared" si="3"/>
        <v>7.0000000000000007E-2</v>
      </c>
    </row>
    <row r="111" spans="1:14" x14ac:dyDescent="0.35">
      <c r="A111" s="52" t="s">
        <v>289</v>
      </c>
      <c r="B111" s="52" t="s">
        <v>646</v>
      </c>
      <c r="C111" s="52" t="s">
        <v>647</v>
      </c>
      <c r="D111" s="52" t="s">
        <v>467</v>
      </c>
      <c r="E111" s="52" t="s">
        <v>948</v>
      </c>
      <c r="F111" s="52" t="s">
        <v>949</v>
      </c>
      <c r="G111" s="52" t="s">
        <v>950</v>
      </c>
      <c r="H111" s="52">
        <v>390000</v>
      </c>
      <c r="I111" s="52" t="s">
        <v>951</v>
      </c>
      <c r="J111" s="52" t="s">
        <v>12</v>
      </c>
      <c r="K111" s="52" t="s">
        <v>13</v>
      </c>
      <c r="L111" s="6">
        <f t="shared" si="2"/>
        <v>6.0381955018053685E-2</v>
      </c>
      <c r="M111" s="6">
        <v>0.06</v>
      </c>
      <c r="N111" s="6">
        <f t="shared" si="3"/>
        <v>0.08</v>
      </c>
    </row>
    <row r="112" spans="1:14" x14ac:dyDescent="0.35">
      <c r="A112" s="10" t="s">
        <v>15</v>
      </c>
      <c r="B112" s="10" t="s">
        <v>646</v>
      </c>
      <c r="C112" s="10" t="s">
        <v>647</v>
      </c>
      <c r="D112" s="10" t="s">
        <v>467</v>
      </c>
      <c r="E112" s="10" t="s">
        <v>948</v>
      </c>
      <c r="F112" s="10" t="s">
        <v>952</v>
      </c>
      <c r="G112" s="10" t="s">
        <v>950</v>
      </c>
      <c r="H112" s="52">
        <v>390000</v>
      </c>
      <c r="I112" s="10" t="s">
        <v>951</v>
      </c>
      <c r="J112" s="10" t="s">
        <v>12</v>
      </c>
      <c r="K112" s="10" t="s">
        <v>13</v>
      </c>
      <c r="L112" s="6">
        <f t="shared" si="2"/>
        <v>6.0381955018053685E-2</v>
      </c>
      <c r="M112" s="6">
        <v>0.06</v>
      </c>
      <c r="N112" s="6">
        <f t="shared" si="3"/>
        <v>0.08</v>
      </c>
    </row>
    <row r="113" spans="1:14" x14ac:dyDescent="0.35">
      <c r="A113" s="52" t="s">
        <v>289</v>
      </c>
      <c r="B113" s="52" t="s">
        <v>646</v>
      </c>
      <c r="C113" s="52" t="s">
        <v>647</v>
      </c>
      <c r="D113" s="52" t="s">
        <v>467</v>
      </c>
      <c r="E113" s="52" t="s">
        <v>953</v>
      </c>
      <c r="F113" s="52" t="s">
        <v>954</v>
      </c>
      <c r="G113" s="52" t="s">
        <v>955</v>
      </c>
      <c r="H113" s="52">
        <v>590000</v>
      </c>
      <c r="I113" s="52" t="s">
        <v>956</v>
      </c>
      <c r="J113" s="52" t="s">
        <v>12</v>
      </c>
      <c r="K113" s="52" t="s">
        <v>13</v>
      </c>
      <c r="L113" s="6">
        <f t="shared" si="2"/>
        <v>5.085609149216222E-2</v>
      </c>
      <c r="M113" s="6">
        <v>0.05</v>
      </c>
      <c r="N113" s="6">
        <f t="shared" si="3"/>
        <v>7.0000000000000007E-2</v>
      </c>
    </row>
    <row r="114" spans="1:14" x14ac:dyDescent="0.35">
      <c r="A114" s="10" t="s">
        <v>15</v>
      </c>
      <c r="B114" s="10" t="s">
        <v>646</v>
      </c>
      <c r="C114" s="10" t="s">
        <v>647</v>
      </c>
      <c r="D114" s="10" t="s">
        <v>467</v>
      </c>
      <c r="E114" s="10" t="s">
        <v>953</v>
      </c>
      <c r="F114" s="10" t="s">
        <v>957</v>
      </c>
      <c r="G114" s="10" t="s">
        <v>955</v>
      </c>
      <c r="H114" s="52">
        <v>590000</v>
      </c>
      <c r="I114" s="10" t="s">
        <v>956</v>
      </c>
      <c r="J114" s="10" t="s">
        <v>12</v>
      </c>
      <c r="K114" s="10" t="s">
        <v>13</v>
      </c>
      <c r="L114" s="6">
        <f t="shared" si="2"/>
        <v>5.085609149216222E-2</v>
      </c>
      <c r="M114" s="6">
        <v>0.05</v>
      </c>
      <c r="N114" s="6">
        <f t="shared" si="3"/>
        <v>7.0000000000000007E-2</v>
      </c>
    </row>
    <row r="115" spans="1:14" x14ac:dyDescent="0.35">
      <c r="A115" s="52" t="s">
        <v>289</v>
      </c>
      <c r="B115" s="52" t="s">
        <v>646</v>
      </c>
      <c r="C115" s="52" t="s">
        <v>647</v>
      </c>
      <c r="D115" s="52" t="s">
        <v>467</v>
      </c>
      <c r="E115" s="52" t="s">
        <v>958</v>
      </c>
      <c r="F115" s="52" t="s">
        <v>959</v>
      </c>
      <c r="G115" s="52" t="s">
        <v>960</v>
      </c>
      <c r="H115" s="52">
        <v>990000</v>
      </c>
      <c r="I115" s="52" t="s">
        <v>961</v>
      </c>
      <c r="J115" s="52" t="s">
        <v>12</v>
      </c>
      <c r="K115" s="52" t="s">
        <v>13</v>
      </c>
      <c r="L115" s="6">
        <f t="shared" si="2"/>
        <v>5.3706011765319452E-2</v>
      </c>
      <c r="M115" s="6">
        <v>5.3499999999999999E-2</v>
      </c>
      <c r="N115" s="6">
        <f t="shared" si="3"/>
        <v>7.3499999999999996E-2</v>
      </c>
    </row>
    <row r="116" spans="1:14" x14ac:dyDescent="0.35">
      <c r="A116" s="10" t="s">
        <v>15</v>
      </c>
      <c r="B116" s="10" t="s">
        <v>646</v>
      </c>
      <c r="C116" s="10" t="s">
        <v>647</v>
      </c>
      <c r="D116" s="10" t="s">
        <v>467</v>
      </c>
      <c r="E116" s="10" t="s">
        <v>958</v>
      </c>
      <c r="F116" s="10" t="s">
        <v>962</v>
      </c>
      <c r="G116" s="10" t="s">
        <v>960</v>
      </c>
      <c r="H116" s="52">
        <v>990000</v>
      </c>
      <c r="I116" s="10" t="s">
        <v>961</v>
      </c>
      <c r="J116" s="10" t="s">
        <v>12</v>
      </c>
      <c r="K116" s="10" t="s">
        <v>13</v>
      </c>
      <c r="L116" s="6">
        <f t="shared" si="2"/>
        <v>5.3706011765319452E-2</v>
      </c>
      <c r="M116" s="6">
        <v>0.06</v>
      </c>
      <c r="N116" s="6">
        <f t="shared" si="3"/>
        <v>0.08</v>
      </c>
    </row>
    <row r="117" spans="1:14" x14ac:dyDescent="0.35">
      <c r="A117" s="10" t="s">
        <v>289</v>
      </c>
      <c r="B117" s="10" t="s">
        <v>646</v>
      </c>
      <c r="C117" s="10" t="s">
        <v>647</v>
      </c>
      <c r="D117" s="10" t="s">
        <v>467</v>
      </c>
      <c r="E117" s="10" t="s">
        <v>963</v>
      </c>
      <c r="F117" s="10" t="s">
        <v>964</v>
      </c>
      <c r="G117" s="10" t="s">
        <v>965</v>
      </c>
      <c r="H117" s="52">
        <v>38000</v>
      </c>
      <c r="I117" s="10" t="s">
        <v>966</v>
      </c>
      <c r="J117" s="10" t="s">
        <v>12</v>
      </c>
      <c r="K117" s="10" t="s">
        <v>13</v>
      </c>
      <c r="L117" s="6">
        <f t="shared" si="2"/>
        <v>5.961742234119681E-2</v>
      </c>
      <c r="M117" s="6">
        <v>0.06</v>
      </c>
      <c r="N117" s="6">
        <f t="shared" si="3"/>
        <v>0.08</v>
      </c>
    </row>
    <row r="118" spans="1:14" x14ac:dyDescent="0.35">
      <c r="A118" s="52" t="s">
        <v>289</v>
      </c>
      <c r="B118" s="52" t="s">
        <v>646</v>
      </c>
      <c r="C118" s="52" t="s">
        <v>647</v>
      </c>
      <c r="D118" s="52" t="s">
        <v>467</v>
      </c>
      <c r="E118" s="52" t="s">
        <v>967</v>
      </c>
      <c r="F118" s="52" t="s">
        <v>968</v>
      </c>
      <c r="G118" s="52" t="s">
        <v>969</v>
      </c>
      <c r="H118" s="52">
        <v>55000</v>
      </c>
      <c r="I118" s="52" t="s">
        <v>970</v>
      </c>
      <c r="J118" s="52" t="s">
        <v>12</v>
      </c>
      <c r="K118" s="52" t="s">
        <v>13</v>
      </c>
      <c r="L118" s="6">
        <f t="shared" si="2"/>
        <v>5.8771440121662466E-2</v>
      </c>
      <c r="M118" s="6">
        <v>0.06</v>
      </c>
      <c r="N118" s="6">
        <f t="shared" si="3"/>
        <v>0.08</v>
      </c>
    </row>
    <row r="119" spans="1:14" x14ac:dyDescent="0.35">
      <c r="A119" s="10" t="s">
        <v>289</v>
      </c>
      <c r="B119" s="10" t="s">
        <v>646</v>
      </c>
      <c r="C119" s="10" t="s">
        <v>647</v>
      </c>
      <c r="D119" s="10" t="s">
        <v>467</v>
      </c>
      <c r="E119" s="10" t="s">
        <v>971</v>
      </c>
      <c r="F119" s="10" t="s">
        <v>972</v>
      </c>
      <c r="G119" s="10" t="s">
        <v>973</v>
      </c>
      <c r="H119" s="52">
        <v>70000</v>
      </c>
      <c r="I119" s="10" t="s">
        <v>974</v>
      </c>
      <c r="J119" s="10" t="s">
        <v>12</v>
      </c>
      <c r="K119" s="10" t="s">
        <v>13</v>
      </c>
      <c r="L119" s="6">
        <f t="shared" si="2"/>
        <v>6.478453324409425E-2</v>
      </c>
      <c r="M119" s="6">
        <v>6.5000000000000002E-2</v>
      </c>
      <c r="N119" s="6">
        <f t="shared" si="3"/>
        <v>8.5000000000000006E-2</v>
      </c>
    </row>
    <row r="120" spans="1:14" x14ac:dyDescent="0.35">
      <c r="A120" s="52" t="s">
        <v>289</v>
      </c>
      <c r="B120" s="52" t="s">
        <v>646</v>
      </c>
      <c r="C120" s="52" t="s">
        <v>647</v>
      </c>
      <c r="D120" s="52" t="s">
        <v>467</v>
      </c>
      <c r="E120" s="52" t="s">
        <v>975</v>
      </c>
      <c r="F120" s="52" t="s">
        <v>976</v>
      </c>
      <c r="G120" s="52" t="s">
        <v>977</v>
      </c>
      <c r="H120" s="52">
        <v>110000</v>
      </c>
      <c r="I120" s="52" t="s">
        <v>978</v>
      </c>
      <c r="J120" s="52" t="s">
        <v>12</v>
      </c>
      <c r="K120" s="52" t="s">
        <v>13</v>
      </c>
      <c r="L120" s="6">
        <f t="shared" si="2"/>
        <v>5.8007675364772193E-2</v>
      </c>
      <c r="M120" s="6">
        <v>5.7500000000000002E-2</v>
      </c>
      <c r="N120" s="6">
        <f t="shared" si="3"/>
        <v>7.7499999999999999E-2</v>
      </c>
    </row>
    <row r="121" spans="1:14" x14ac:dyDescent="0.35">
      <c r="A121" s="10" t="s">
        <v>289</v>
      </c>
      <c r="B121" s="10" t="s">
        <v>646</v>
      </c>
      <c r="C121" s="10" t="s">
        <v>647</v>
      </c>
      <c r="D121" s="10" t="s">
        <v>467</v>
      </c>
      <c r="E121" s="10" t="s">
        <v>979</v>
      </c>
      <c r="F121" s="10" t="s">
        <v>980</v>
      </c>
      <c r="G121" s="10" t="s">
        <v>981</v>
      </c>
      <c r="H121" s="52">
        <v>218000</v>
      </c>
      <c r="I121" s="10" t="s">
        <v>982</v>
      </c>
      <c r="J121" s="10" t="s">
        <v>12</v>
      </c>
      <c r="K121" s="10" t="s">
        <v>13</v>
      </c>
      <c r="L121" s="6">
        <f t="shared" si="2"/>
        <v>5.4138217829442371E-2</v>
      </c>
      <c r="M121" s="6">
        <v>5.5E-2</v>
      </c>
      <c r="N121" s="6">
        <f t="shared" si="3"/>
        <v>7.4999999999999997E-2</v>
      </c>
    </row>
    <row r="122" spans="1:14" x14ac:dyDescent="0.35">
      <c r="A122" s="52" t="s">
        <v>289</v>
      </c>
      <c r="B122" s="52" t="s">
        <v>646</v>
      </c>
      <c r="C122" s="52" t="s">
        <v>647</v>
      </c>
      <c r="D122" s="52" t="s">
        <v>467</v>
      </c>
      <c r="E122" s="52" t="s">
        <v>983</v>
      </c>
      <c r="F122" s="52" t="s">
        <v>984</v>
      </c>
      <c r="G122" s="52" t="s">
        <v>985</v>
      </c>
      <c r="H122" s="52">
        <v>550000</v>
      </c>
      <c r="I122" s="52" t="s">
        <v>986</v>
      </c>
      <c r="J122" s="52" t="s">
        <v>12</v>
      </c>
      <c r="K122" s="52" t="s">
        <v>13</v>
      </c>
      <c r="L122" s="6">
        <f t="shared" si="2"/>
        <v>5.5315817649101734E-2</v>
      </c>
      <c r="M122" s="6">
        <v>5.5E-2</v>
      </c>
      <c r="N122" s="6">
        <f t="shared" si="3"/>
        <v>7.4999999999999997E-2</v>
      </c>
    </row>
    <row r="123" spans="1:14" x14ac:dyDescent="0.35">
      <c r="A123" s="10" t="s">
        <v>289</v>
      </c>
      <c r="B123" s="10" t="s">
        <v>646</v>
      </c>
      <c r="C123" s="10" t="s">
        <v>647</v>
      </c>
      <c r="D123" s="10" t="s">
        <v>467</v>
      </c>
      <c r="E123" s="10" t="s">
        <v>987</v>
      </c>
      <c r="F123" s="10" t="s">
        <v>988</v>
      </c>
      <c r="G123" s="10" t="s">
        <v>989</v>
      </c>
      <c r="H123" s="52">
        <v>1100000</v>
      </c>
      <c r="I123" s="10" t="s">
        <v>990</v>
      </c>
      <c r="J123" s="10" t="s">
        <v>12</v>
      </c>
      <c r="K123" s="10" t="s">
        <v>13</v>
      </c>
      <c r="L123" s="6">
        <f t="shared" si="2"/>
        <v>5.3508662714412958E-2</v>
      </c>
      <c r="M123" s="6">
        <v>5.2499999999999998E-2</v>
      </c>
      <c r="N123" s="6">
        <f t="shared" si="3"/>
        <v>7.2499999999999995E-2</v>
      </c>
    </row>
    <row r="124" spans="1:14" x14ac:dyDescent="0.35">
      <c r="A124" s="10" t="s">
        <v>289</v>
      </c>
      <c r="B124" s="10" t="s">
        <v>646</v>
      </c>
      <c r="C124" s="10" t="s">
        <v>647</v>
      </c>
      <c r="D124" s="10" t="s">
        <v>467</v>
      </c>
      <c r="E124" s="10" t="s">
        <v>991</v>
      </c>
      <c r="F124" s="10" t="s">
        <v>992</v>
      </c>
      <c r="G124" s="10" t="s">
        <v>993</v>
      </c>
      <c r="H124" s="52">
        <v>126500</v>
      </c>
      <c r="I124" s="10" t="s">
        <v>994</v>
      </c>
      <c r="J124" s="10" t="s">
        <v>12</v>
      </c>
      <c r="K124" s="10" t="s">
        <v>13</v>
      </c>
      <c r="L124" s="6">
        <f t="shared" si="2"/>
        <v>5.7851516114465387E-2</v>
      </c>
      <c r="M124" s="6">
        <v>5.7999999999999996E-2</v>
      </c>
      <c r="N124" s="6">
        <f t="shared" si="3"/>
        <v>7.8E-2</v>
      </c>
    </row>
    <row r="125" spans="1:14" x14ac:dyDescent="0.35">
      <c r="A125" s="52" t="s">
        <v>289</v>
      </c>
      <c r="B125" s="52" t="s">
        <v>646</v>
      </c>
      <c r="C125" s="52" t="s">
        <v>647</v>
      </c>
      <c r="D125" s="52" t="s">
        <v>467</v>
      </c>
      <c r="E125" s="52" t="s">
        <v>995</v>
      </c>
      <c r="F125" s="52" t="s">
        <v>996</v>
      </c>
      <c r="G125" s="52" t="s">
        <v>997</v>
      </c>
      <c r="H125" s="52">
        <v>95000</v>
      </c>
      <c r="I125" s="52" t="s">
        <v>998</v>
      </c>
      <c r="J125" s="52" t="s">
        <v>12</v>
      </c>
      <c r="K125" s="52" t="s">
        <v>13</v>
      </c>
      <c r="L125" s="6">
        <f t="shared" si="2"/>
        <v>4.5783291685472419E-2</v>
      </c>
      <c r="M125" s="6">
        <v>4.4999999999999998E-2</v>
      </c>
      <c r="N125" s="6">
        <f t="shared" si="3"/>
        <v>6.5000000000000002E-2</v>
      </c>
    </row>
    <row r="126" spans="1:14" x14ac:dyDescent="0.35">
      <c r="A126" s="10" t="s">
        <v>772</v>
      </c>
      <c r="B126" s="10" t="s">
        <v>646</v>
      </c>
      <c r="C126" s="10" t="s">
        <v>647</v>
      </c>
      <c r="D126" s="10" t="s">
        <v>467</v>
      </c>
      <c r="E126" s="10" t="s">
        <v>995</v>
      </c>
      <c r="F126" s="10" t="s">
        <v>999</v>
      </c>
      <c r="G126" s="10" t="s">
        <v>997</v>
      </c>
      <c r="H126" s="52">
        <v>95000</v>
      </c>
      <c r="I126" s="10" t="s">
        <v>998</v>
      </c>
      <c r="J126" s="10" t="s">
        <v>12</v>
      </c>
      <c r="K126" s="10" t="s">
        <v>13</v>
      </c>
      <c r="L126" s="6">
        <f t="shared" si="2"/>
        <v>4.5783291685472419E-2</v>
      </c>
      <c r="M126" s="6">
        <v>4.4999999999999998E-2</v>
      </c>
      <c r="N126" s="6">
        <f t="shared" si="3"/>
        <v>6.5000000000000002E-2</v>
      </c>
    </row>
    <row r="127" spans="1:14" x14ac:dyDescent="0.35">
      <c r="A127" s="52" t="s">
        <v>289</v>
      </c>
      <c r="B127" s="52" t="s">
        <v>646</v>
      </c>
      <c r="C127" s="52" t="s">
        <v>647</v>
      </c>
      <c r="D127" s="52" t="s">
        <v>467</v>
      </c>
      <c r="E127" s="52" t="s">
        <v>1000</v>
      </c>
      <c r="F127" s="52" t="s">
        <v>1001</v>
      </c>
      <c r="G127" s="52" t="s">
        <v>1002</v>
      </c>
      <c r="H127" s="52">
        <v>260000</v>
      </c>
      <c r="I127" s="52" t="s">
        <v>1003</v>
      </c>
      <c r="J127" s="52" t="s">
        <v>12</v>
      </c>
      <c r="K127" s="52" t="s">
        <v>13</v>
      </c>
      <c r="L127" s="6">
        <f t="shared" si="2"/>
        <v>5.2550613515559529E-2</v>
      </c>
      <c r="M127" s="6">
        <v>5.2499999999999998E-2</v>
      </c>
      <c r="N127" s="6">
        <f t="shared" si="3"/>
        <v>7.2499999999999995E-2</v>
      </c>
    </row>
    <row r="128" spans="1:14" x14ac:dyDescent="0.35">
      <c r="A128" s="10" t="s">
        <v>289</v>
      </c>
      <c r="B128" s="10" t="s">
        <v>646</v>
      </c>
      <c r="C128" s="10" t="s">
        <v>647</v>
      </c>
      <c r="D128" s="10" t="s">
        <v>467</v>
      </c>
      <c r="E128" s="10" t="s">
        <v>1004</v>
      </c>
      <c r="F128" s="10" t="s">
        <v>1005</v>
      </c>
      <c r="G128" s="10" t="s">
        <v>1006</v>
      </c>
      <c r="H128" s="52">
        <v>190000</v>
      </c>
      <c r="I128" s="10" t="s">
        <v>1007</v>
      </c>
      <c r="J128" s="10" t="s">
        <v>12</v>
      </c>
      <c r="K128" s="10" t="s">
        <v>13</v>
      </c>
      <c r="L128" s="6">
        <f t="shared" si="2"/>
        <v>4.8368407693920569E-2</v>
      </c>
      <c r="M128" s="6">
        <v>4.7500000000000001E-2</v>
      </c>
      <c r="N128" s="6">
        <f t="shared" si="3"/>
        <v>6.7500000000000004E-2</v>
      </c>
    </row>
    <row r="129" spans="1:14" x14ac:dyDescent="0.35">
      <c r="A129" s="52" t="s">
        <v>772</v>
      </c>
      <c r="B129" s="52" t="s">
        <v>646</v>
      </c>
      <c r="C129" s="52" t="s">
        <v>647</v>
      </c>
      <c r="D129" s="52" t="s">
        <v>467</v>
      </c>
      <c r="E129" s="52" t="s">
        <v>1004</v>
      </c>
      <c r="F129" s="52" t="s">
        <v>1008</v>
      </c>
      <c r="G129" s="52" t="s">
        <v>1006</v>
      </c>
      <c r="H129" s="52">
        <v>190000</v>
      </c>
      <c r="I129" s="52" t="s">
        <v>1007</v>
      </c>
      <c r="J129" s="52" t="s">
        <v>12</v>
      </c>
      <c r="K129" s="52" t="s">
        <v>13</v>
      </c>
      <c r="L129" s="6">
        <f t="shared" si="2"/>
        <v>4.8368407693920569E-2</v>
      </c>
      <c r="M129" s="6">
        <v>4.7500000000000001E-2</v>
      </c>
      <c r="N129" s="6">
        <f t="shared" si="3"/>
        <v>6.7500000000000004E-2</v>
      </c>
    </row>
    <row r="130" spans="1:14" x14ac:dyDescent="0.35">
      <c r="A130" s="10" t="s">
        <v>289</v>
      </c>
      <c r="B130" s="10" t="s">
        <v>646</v>
      </c>
      <c r="C130" s="10" t="s">
        <v>647</v>
      </c>
      <c r="D130" s="10" t="s">
        <v>467</v>
      </c>
      <c r="E130" s="10" t="s">
        <v>1009</v>
      </c>
      <c r="F130" s="10" t="s">
        <v>1010</v>
      </c>
      <c r="G130" s="10" t="s">
        <v>1011</v>
      </c>
      <c r="H130" s="52">
        <v>415000</v>
      </c>
      <c r="I130" s="10" t="s">
        <v>1012</v>
      </c>
      <c r="J130" s="10" t="s">
        <v>12</v>
      </c>
      <c r="K130" s="10" t="s">
        <v>13</v>
      </c>
      <c r="L130" s="6">
        <f t="shared" si="2"/>
        <v>5.0513232669695859E-2</v>
      </c>
      <c r="M130" s="6">
        <v>0.05</v>
      </c>
      <c r="N130" s="6">
        <f t="shared" si="3"/>
        <v>7.0000000000000007E-2</v>
      </c>
    </row>
    <row r="131" spans="1:14" x14ac:dyDescent="0.35">
      <c r="A131" s="52" t="s">
        <v>289</v>
      </c>
      <c r="B131" s="52" t="s">
        <v>646</v>
      </c>
      <c r="C131" s="52" t="s">
        <v>647</v>
      </c>
      <c r="D131" s="52" t="s">
        <v>467</v>
      </c>
      <c r="E131" s="52" t="s">
        <v>1013</v>
      </c>
      <c r="F131" s="52" t="s">
        <v>1014</v>
      </c>
      <c r="G131" s="52" t="s">
        <v>1015</v>
      </c>
      <c r="H131" s="52">
        <v>380000</v>
      </c>
      <c r="I131" s="52" t="s">
        <v>1016</v>
      </c>
      <c r="J131" s="52" t="s">
        <v>12</v>
      </c>
      <c r="K131" s="52" t="s">
        <v>13</v>
      </c>
      <c r="L131" s="6">
        <f t="shared" ref="L131:L156" si="4">(H131-I131)/I131</f>
        <v>4.9404876971086135E-2</v>
      </c>
      <c r="M131" s="6">
        <v>0.05</v>
      </c>
      <c r="N131" s="6">
        <f t="shared" ref="N131:N150" si="5">M131+2%</f>
        <v>7.0000000000000007E-2</v>
      </c>
    </row>
    <row r="132" spans="1:14" x14ac:dyDescent="0.35">
      <c r="A132" s="10" t="s">
        <v>772</v>
      </c>
      <c r="B132" s="10" t="s">
        <v>646</v>
      </c>
      <c r="C132" s="10" t="s">
        <v>647</v>
      </c>
      <c r="D132" s="10" t="s">
        <v>467</v>
      </c>
      <c r="E132" s="10" t="s">
        <v>1013</v>
      </c>
      <c r="F132" s="10" t="s">
        <v>1017</v>
      </c>
      <c r="G132" s="10" t="s">
        <v>1015</v>
      </c>
      <c r="H132" s="52">
        <v>380000</v>
      </c>
      <c r="I132" s="10" t="s">
        <v>1016</v>
      </c>
      <c r="J132" s="10" t="s">
        <v>12</v>
      </c>
      <c r="K132" s="10" t="s">
        <v>13</v>
      </c>
      <c r="L132" s="6">
        <f t="shared" si="4"/>
        <v>4.9404876971086135E-2</v>
      </c>
      <c r="M132" s="6">
        <v>0.05</v>
      </c>
      <c r="N132" s="6">
        <f t="shared" si="5"/>
        <v>7.0000000000000007E-2</v>
      </c>
    </row>
    <row r="133" spans="1:14" x14ac:dyDescent="0.35">
      <c r="A133" s="52" t="s">
        <v>289</v>
      </c>
      <c r="B133" s="52" t="s">
        <v>646</v>
      </c>
      <c r="C133" s="52" t="s">
        <v>647</v>
      </c>
      <c r="D133" s="52" t="s">
        <v>467</v>
      </c>
      <c r="E133" s="52" t="s">
        <v>1018</v>
      </c>
      <c r="F133" s="52" t="s">
        <v>1019</v>
      </c>
      <c r="G133" s="52" t="s">
        <v>1020</v>
      </c>
      <c r="H133" s="52">
        <v>615000</v>
      </c>
      <c r="I133" s="52" t="s">
        <v>1021</v>
      </c>
      <c r="J133" s="52" t="s">
        <v>12</v>
      </c>
      <c r="K133" s="52" t="s">
        <v>13</v>
      </c>
      <c r="L133" s="6">
        <f t="shared" si="4"/>
        <v>5.1895207291771786E-2</v>
      </c>
      <c r="M133" s="6">
        <v>0.05</v>
      </c>
      <c r="N133" s="6">
        <f t="shared" si="5"/>
        <v>7.0000000000000007E-2</v>
      </c>
    </row>
    <row r="134" spans="1:14" x14ac:dyDescent="0.35">
      <c r="A134" s="52" t="s">
        <v>289</v>
      </c>
      <c r="B134" s="52" t="s">
        <v>646</v>
      </c>
      <c r="C134" s="52" t="s">
        <v>647</v>
      </c>
      <c r="D134" s="52" t="s">
        <v>467</v>
      </c>
      <c r="E134" s="52" t="s">
        <v>703</v>
      </c>
      <c r="F134" s="52" t="s">
        <v>1022</v>
      </c>
      <c r="G134" s="52" t="s">
        <v>705</v>
      </c>
      <c r="H134" s="52">
        <v>395000</v>
      </c>
      <c r="I134" s="52" t="s">
        <v>706</v>
      </c>
      <c r="J134" s="52" t="s">
        <v>12</v>
      </c>
      <c r="K134" s="52" t="s">
        <v>13</v>
      </c>
      <c r="L134" s="6">
        <f t="shared" si="4"/>
        <v>6.1089187904120518E-2</v>
      </c>
      <c r="M134" s="6">
        <v>0.06</v>
      </c>
      <c r="N134" s="6">
        <f t="shared" si="5"/>
        <v>0.08</v>
      </c>
    </row>
    <row r="135" spans="1:14" x14ac:dyDescent="0.35">
      <c r="A135" s="52" t="s">
        <v>289</v>
      </c>
      <c r="B135" s="52" t="s">
        <v>646</v>
      </c>
      <c r="C135" s="52" t="s">
        <v>647</v>
      </c>
      <c r="D135" s="52" t="s">
        <v>467</v>
      </c>
      <c r="E135" s="52" t="s">
        <v>726</v>
      </c>
      <c r="F135" s="52" t="s">
        <v>1023</v>
      </c>
      <c r="G135" s="52" t="s">
        <v>728</v>
      </c>
      <c r="H135" s="52">
        <v>570000</v>
      </c>
      <c r="I135" s="52" t="s">
        <v>729</v>
      </c>
      <c r="J135" s="52" t="s">
        <v>12</v>
      </c>
      <c r="K135" s="52" t="s">
        <v>13</v>
      </c>
      <c r="L135" s="6">
        <f t="shared" si="4"/>
        <v>5.8291434894653583E-2</v>
      </c>
      <c r="M135" s="6">
        <v>5.7500000000000002E-2</v>
      </c>
      <c r="N135" s="6">
        <f t="shared" si="5"/>
        <v>7.7499999999999999E-2</v>
      </c>
    </row>
    <row r="136" spans="1:14" x14ac:dyDescent="0.35">
      <c r="A136" s="10" t="s">
        <v>289</v>
      </c>
      <c r="B136" s="10" t="s">
        <v>646</v>
      </c>
      <c r="C136" s="10" t="s">
        <v>647</v>
      </c>
      <c r="D136" s="10" t="s">
        <v>467</v>
      </c>
      <c r="E136" s="10" t="s">
        <v>764</v>
      </c>
      <c r="F136" s="10" t="s">
        <v>1024</v>
      </c>
      <c r="G136" s="10" t="s">
        <v>766</v>
      </c>
      <c r="H136" s="52">
        <v>980000</v>
      </c>
      <c r="I136" s="10" t="s">
        <v>767</v>
      </c>
      <c r="J136" s="10" t="s">
        <v>12</v>
      </c>
      <c r="K136" s="10" t="s">
        <v>13</v>
      </c>
      <c r="L136" s="6">
        <f t="shared" si="4"/>
        <v>5.3261725866065951E-2</v>
      </c>
      <c r="M136" s="6">
        <v>5.2499999999999998E-2</v>
      </c>
      <c r="N136" s="6">
        <f t="shared" si="5"/>
        <v>7.2499999999999995E-2</v>
      </c>
    </row>
    <row r="137" spans="1:14" x14ac:dyDescent="0.35">
      <c r="A137" s="52" t="s">
        <v>289</v>
      </c>
      <c r="B137" s="52" t="s">
        <v>646</v>
      </c>
      <c r="C137" s="52" t="s">
        <v>647</v>
      </c>
      <c r="D137" s="52" t="s">
        <v>467</v>
      </c>
      <c r="E137" s="52" t="s">
        <v>796</v>
      </c>
      <c r="F137" s="52" t="s">
        <v>1025</v>
      </c>
      <c r="G137" s="52" t="s">
        <v>798</v>
      </c>
      <c r="H137" s="52">
        <v>2050000</v>
      </c>
      <c r="I137" s="52" t="s">
        <v>799</v>
      </c>
      <c r="J137" s="52" t="s">
        <v>12</v>
      </c>
      <c r="K137" s="52" t="s">
        <v>13</v>
      </c>
      <c r="L137" s="6">
        <f t="shared" si="4"/>
        <v>7.6181581755939864E-2</v>
      </c>
      <c r="M137" s="6">
        <v>7.4999999999999997E-2</v>
      </c>
      <c r="N137" s="6">
        <f t="shared" si="5"/>
        <v>9.5000000000000001E-2</v>
      </c>
    </row>
    <row r="138" spans="1:14" x14ac:dyDescent="0.35">
      <c r="A138" s="10" t="s">
        <v>289</v>
      </c>
      <c r="B138" s="10" t="s">
        <v>646</v>
      </c>
      <c r="C138" s="10" t="s">
        <v>647</v>
      </c>
      <c r="D138" s="10" t="s">
        <v>467</v>
      </c>
      <c r="E138" s="10" t="s">
        <v>1026</v>
      </c>
      <c r="F138" s="10" t="s">
        <v>1027</v>
      </c>
      <c r="G138" s="10" t="s">
        <v>1028</v>
      </c>
      <c r="H138" s="52">
        <v>575000</v>
      </c>
      <c r="I138" s="10" t="s">
        <v>1029</v>
      </c>
      <c r="J138" s="10" t="s">
        <v>12</v>
      </c>
      <c r="K138" s="10" t="s">
        <v>13</v>
      </c>
      <c r="L138" s="6">
        <f t="shared" si="4"/>
        <v>5.2452397120490241E-2</v>
      </c>
      <c r="M138" s="6">
        <v>5.2499999999999998E-2</v>
      </c>
      <c r="N138" s="6">
        <f t="shared" si="5"/>
        <v>7.2499999999999995E-2</v>
      </c>
    </row>
    <row r="139" spans="1:14" x14ac:dyDescent="0.35">
      <c r="A139" s="52" t="s">
        <v>772</v>
      </c>
      <c r="B139" s="52" t="s">
        <v>646</v>
      </c>
      <c r="C139" s="52" t="s">
        <v>647</v>
      </c>
      <c r="D139" s="52" t="s">
        <v>467</v>
      </c>
      <c r="E139" s="52" t="s">
        <v>1026</v>
      </c>
      <c r="F139" s="52" t="s">
        <v>1030</v>
      </c>
      <c r="G139" s="52" t="s">
        <v>1028</v>
      </c>
      <c r="H139" s="52">
        <v>575000</v>
      </c>
      <c r="I139" s="52" t="s">
        <v>1029</v>
      </c>
      <c r="J139" s="52" t="s">
        <v>12</v>
      </c>
      <c r="K139" s="52" t="s">
        <v>13</v>
      </c>
      <c r="L139" s="6">
        <f t="shared" si="4"/>
        <v>5.2452397120490241E-2</v>
      </c>
      <c r="M139" s="6">
        <v>5.2499999999999998E-2</v>
      </c>
      <c r="N139" s="6">
        <f t="shared" si="5"/>
        <v>7.2499999999999995E-2</v>
      </c>
    </row>
    <row r="140" spans="1:14" x14ac:dyDescent="0.35">
      <c r="A140" s="10" t="s">
        <v>289</v>
      </c>
      <c r="B140" s="10" t="s">
        <v>646</v>
      </c>
      <c r="C140" s="10" t="s">
        <v>647</v>
      </c>
      <c r="D140" s="10" t="s">
        <v>467</v>
      </c>
      <c r="E140" s="10" t="s">
        <v>1031</v>
      </c>
      <c r="F140" s="10" t="s">
        <v>1032</v>
      </c>
      <c r="G140" s="10" t="s">
        <v>1033</v>
      </c>
      <c r="H140" s="52">
        <v>92500</v>
      </c>
      <c r="I140" s="10" t="s">
        <v>1034</v>
      </c>
      <c r="J140" s="10" t="s">
        <v>12</v>
      </c>
      <c r="K140" s="10" t="s">
        <v>13</v>
      </c>
      <c r="L140" s="6">
        <f t="shared" si="4"/>
        <v>5.1351412788979561E-2</v>
      </c>
      <c r="M140" s="6">
        <v>0.05</v>
      </c>
      <c r="N140" s="6">
        <f t="shared" si="5"/>
        <v>7.0000000000000007E-2</v>
      </c>
    </row>
    <row r="141" spans="1:14" x14ac:dyDescent="0.35">
      <c r="A141" s="52" t="s">
        <v>289</v>
      </c>
      <c r="B141" s="52" t="s">
        <v>646</v>
      </c>
      <c r="C141" s="52" t="s">
        <v>647</v>
      </c>
      <c r="D141" s="52" t="s">
        <v>467</v>
      </c>
      <c r="E141" s="52" t="s">
        <v>1035</v>
      </c>
      <c r="F141" s="52" t="s">
        <v>1036</v>
      </c>
      <c r="G141" s="52" t="s">
        <v>1037</v>
      </c>
      <c r="H141" s="52">
        <v>116000</v>
      </c>
      <c r="I141" s="52" t="s">
        <v>1038</v>
      </c>
      <c r="J141" s="52" t="s">
        <v>12</v>
      </c>
      <c r="K141" s="52" t="s">
        <v>13</v>
      </c>
      <c r="L141" s="6">
        <f t="shared" si="4"/>
        <v>5.4756405826619871E-2</v>
      </c>
      <c r="M141" s="6">
        <v>5.5E-2</v>
      </c>
      <c r="N141" s="6">
        <f t="shared" si="5"/>
        <v>7.4999999999999997E-2</v>
      </c>
    </row>
    <row r="142" spans="1:14" x14ac:dyDescent="0.35">
      <c r="A142" s="10" t="s">
        <v>289</v>
      </c>
      <c r="B142" s="10" t="s">
        <v>646</v>
      </c>
      <c r="C142" s="10" t="s">
        <v>647</v>
      </c>
      <c r="D142" s="10" t="s">
        <v>467</v>
      </c>
      <c r="E142" s="10" t="s">
        <v>1039</v>
      </c>
      <c r="F142" s="10" t="s">
        <v>1040</v>
      </c>
      <c r="G142" s="10" t="s">
        <v>1041</v>
      </c>
      <c r="H142" s="52">
        <v>185000</v>
      </c>
      <c r="I142" s="10" t="s">
        <v>1042</v>
      </c>
      <c r="J142" s="10" t="s">
        <v>12</v>
      </c>
      <c r="K142" s="10" t="s">
        <v>13</v>
      </c>
      <c r="L142" s="6">
        <f t="shared" si="4"/>
        <v>5.1351412788979561E-2</v>
      </c>
      <c r="M142" s="6">
        <v>0.05</v>
      </c>
      <c r="N142" s="6">
        <f t="shared" si="5"/>
        <v>7.0000000000000007E-2</v>
      </c>
    </row>
    <row r="143" spans="1:14" x14ac:dyDescent="0.35">
      <c r="A143" s="52" t="s">
        <v>289</v>
      </c>
      <c r="B143" s="52" t="s">
        <v>646</v>
      </c>
      <c r="C143" s="52" t="s">
        <v>647</v>
      </c>
      <c r="D143" s="52" t="s">
        <v>467</v>
      </c>
      <c r="E143" s="52" t="s">
        <v>1043</v>
      </c>
      <c r="F143" s="52" t="s">
        <v>1044</v>
      </c>
      <c r="G143" s="52" t="s">
        <v>1045</v>
      </c>
      <c r="H143" s="52">
        <v>232000</v>
      </c>
      <c r="I143" s="52" t="s">
        <v>1046</v>
      </c>
      <c r="J143" s="52" t="s">
        <v>12</v>
      </c>
      <c r="K143" s="52" t="s">
        <v>13</v>
      </c>
      <c r="L143" s="6">
        <f t="shared" si="4"/>
        <v>5.4761201154781662E-2</v>
      </c>
      <c r="M143" s="6">
        <v>5.5E-2</v>
      </c>
      <c r="N143" s="6">
        <f t="shared" si="5"/>
        <v>7.4999999999999997E-2</v>
      </c>
    </row>
    <row r="144" spans="1:14" x14ac:dyDescent="0.35">
      <c r="A144" s="10" t="s">
        <v>289</v>
      </c>
      <c r="B144" s="10" t="s">
        <v>646</v>
      </c>
      <c r="C144" s="10" t="s">
        <v>647</v>
      </c>
      <c r="D144" s="10" t="s">
        <v>467</v>
      </c>
      <c r="E144" s="10" t="s">
        <v>1047</v>
      </c>
      <c r="F144" s="10" t="s">
        <v>1048</v>
      </c>
      <c r="G144" s="10" t="s">
        <v>1049</v>
      </c>
      <c r="H144" s="52">
        <v>462000</v>
      </c>
      <c r="I144" s="10" t="s">
        <v>1050</v>
      </c>
      <c r="J144" s="10" t="s">
        <v>12</v>
      </c>
      <c r="K144" s="10" t="s">
        <v>13</v>
      </c>
      <c r="L144" s="6">
        <f t="shared" si="4"/>
        <v>5.0212429332296762E-2</v>
      </c>
      <c r="M144" s="6">
        <v>0.05</v>
      </c>
      <c r="N144" s="6">
        <f t="shared" si="5"/>
        <v>7.0000000000000007E-2</v>
      </c>
    </row>
    <row r="145" spans="1:14" x14ac:dyDescent="0.35">
      <c r="A145" s="52" t="s">
        <v>289</v>
      </c>
      <c r="B145" s="52" t="s">
        <v>646</v>
      </c>
      <c r="C145" s="52" t="s">
        <v>647</v>
      </c>
      <c r="D145" s="52" t="s">
        <v>467</v>
      </c>
      <c r="E145" s="52" t="s">
        <v>1051</v>
      </c>
      <c r="F145" s="52" t="s">
        <v>1052</v>
      </c>
      <c r="G145" s="52" t="s">
        <v>1053</v>
      </c>
      <c r="H145" s="52">
        <v>670000</v>
      </c>
      <c r="I145" s="52" t="s">
        <v>1054</v>
      </c>
      <c r="J145" s="52" t="s">
        <v>12</v>
      </c>
      <c r="K145" s="52" t="s">
        <v>13</v>
      </c>
      <c r="L145" s="6">
        <f t="shared" si="4"/>
        <v>5.7224234104160256E-2</v>
      </c>
      <c r="M145" s="6">
        <v>5.7500000000000002E-2</v>
      </c>
      <c r="N145" s="6">
        <f t="shared" si="5"/>
        <v>7.7499999999999999E-2</v>
      </c>
    </row>
    <row r="146" spans="1:14" x14ac:dyDescent="0.35">
      <c r="A146" s="10" t="s">
        <v>289</v>
      </c>
      <c r="B146" s="10" t="s">
        <v>646</v>
      </c>
      <c r="C146" s="10" t="s">
        <v>647</v>
      </c>
      <c r="D146" s="10" t="s">
        <v>467</v>
      </c>
      <c r="E146" s="10" t="s">
        <v>1055</v>
      </c>
      <c r="F146" s="10" t="s">
        <v>1056</v>
      </c>
      <c r="G146" s="10" t="s">
        <v>1057</v>
      </c>
      <c r="H146" s="52">
        <v>888000</v>
      </c>
      <c r="I146" s="10" t="s">
        <v>1058</v>
      </c>
      <c r="J146" s="10" t="s">
        <v>12</v>
      </c>
      <c r="K146" s="10" t="s">
        <v>13</v>
      </c>
      <c r="L146" s="6">
        <f t="shared" si="4"/>
        <v>5.0912447631896611E-2</v>
      </c>
      <c r="M146" s="6">
        <v>0.05</v>
      </c>
      <c r="N146" s="6">
        <f t="shared" si="5"/>
        <v>7.0000000000000007E-2</v>
      </c>
    </row>
    <row r="147" spans="1:14" x14ac:dyDescent="0.35">
      <c r="A147" s="52" t="s">
        <v>289</v>
      </c>
      <c r="B147" s="52" t="s">
        <v>646</v>
      </c>
      <c r="C147" s="52" t="s">
        <v>647</v>
      </c>
      <c r="D147" s="52" t="s">
        <v>467</v>
      </c>
      <c r="E147" s="52" t="s">
        <v>1059</v>
      </c>
      <c r="F147" s="52" t="s">
        <v>1060</v>
      </c>
      <c r="G147" s="52" t="s">
        <v>1061</v>
      </c>
      <c r="H147" s="52">
        <v>1200000</v>
      </c>
      <c r="I147" s="52" t="s">
        <v>1062</v>
      </c>
      <c r="J147" s="52" t="s">
        <v>12</v>
      </c>
      <c r="K147" s="52" t="s">
        <v>13</v>
      </c>
      <c r="L147" s="6">
        <f t="shared" si="4"/>
        <v>9.3065410855961303E-2</v>
      </c>
      <c r="M147" s="6">
        <v>9.2499999999999999E-2</v>
      </c>
      <c r="N147" s="6">
        <f t="shared" si="5"/>
        <v>0.1125</v>
      </c>
    </row>
    <row r="148" spans="1:14" x14ac:dyDescent="0.35">
      <c r="A148" s="10" t="s">
        <v>289</v>
      </c>
      <c r="B148" s="10" t="s">
        <v>646</v>
      </c>
      <c r="C148" s="10" t="s">
        <v>647</v>
      </c>
      <c r="D148" s="10" t="s">
        <v>467</v>
      </c>
      <c r="E148" s="10" t="s">
        <v>1063</v>
      </c>
      <c r="F148" s="10" t="s">
        <v>1064</v>
      </c>
      <c r="G148" s="10" t="s">
        <v>1065</v>
      </c>
      <c r="H148" s="52">
        <v>2350000</v>
      </c>
      <c r="I148" s="10" t="s">
        <v>1066</v>
      </c>
      <c r="J148" s="10" t="s">
        <v>12</v>
      </c>
      <c r="K148" s="10" t="s">
        <v>13</v>
      </c>
      <c r="L148" s="6">
        <f t="shared" si="4"/>
        <v>6.8849849337654215E-2</v>
      </c>
      <c r="M148" s="6">
        <v>7.0000000000000007E-2</v>
      </c>
      <c r="N148" s="6">
        <f t="shared" si="5"/>
        <v>9.0000000000000011E-2</v>
      </c>
    </row>
    <row r="149" spans="1:14" x14ac:dyDescent="0.35">
      <c r="A149" s="10" t="s">
        <v>289</v>
      </c>
      <c r="B149" s="10" t="s">
        <v>646</v>
      </c>
      <c r="C149" s="10" t="s">
        <v>647</v>
      </c>
      <c r="D149" s="10" t="s">
        <v>467</v>
      </c>
      <c r="E149" s="10" t="s">
        <v>1067</v>
      </c>
      <c r="F149" s="10" t="s">
        <v>1068</v>
      </c>
      <c r="G149" s="10" t="s">
        <v>1069</v>
      </c>
      <c r="H149" s="52">
        <v>950000</v>
      </c>
      <c r="I149" s="10" t="s">
        <v>1070</v>
      </c>
      <c r="J149" s="10" t="s">
        <v>12</v>
      </c>
      <c r="K149" s="10" t="s">
        <v>13</v>
      </c>
      <c r="L149" s="6">
        <f t="shared" si="4"/>
        <v>5.3731429370046074E-2</v>
      </c>
      <c r="M149" s="6">
        <v>5.2499999999999998E-2</v>
      </c>
      <c r="N149" s="6">
        <f t="shared" si="5"/>
        <v>7.2499999999999995E-2</v>
      </c>
    </row>
    <row r="150" spans="1:14" x14ac:dyDescent="0.35">
      <c r="A150" s="52" t="s">
        <v>772</v>
      </c>
      <c r="B150" s="52" t="s">
        <v>646</v>
      </c>
      <c r="C150" s="52" t="s">
        <v>647</v>
      </c>
      <c r="D150" s="52" t="s">
        <v>467</v>
      </c>
      <c r="E150" s="52" t="s">
        <v>1067</v>
      </c>
      <c r="F150" s="52" t="s">
        <v>1071</v>
      </c>
      <c r="G150" s="52" t="s">
        <v>1069</v>
      </c>
      <c r="H150" s="52">
        <v>950000</v>
      </c>
      <c r="I150" s="52" t="s">
        <v>1070</v>
      </c>
      <c r="J150" s="52" t="s">
        <v>12</v>
      </c>
      <c r="K150" s="52" t="s">
        <v>13</v>
      </c>
      <c r="L150" s="6">
        <f t="shared" si="4"/>
        <v>5.3731429370046074E-2</v>
      </c>
      <c r="M150" s="6">
        <v>5.2499999999999998E-2</v>
      </c>
      <c r="N150" s="6">
        <f t="shared" si="5"/>
        <v>7.2499999999999995E-2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CFE1-E2F6-450E-AD16-12270D67BDF7}">
  <dimension ref="A1:DN72"/>
  <sheetViews>
    <sheetView topLeftCell="C55" workbookViewId="0">
      <selection activeCell="T35" sqref="T35"/>
    </sheetView>
  </sheetViews>
  <sheetFormatPr defaultRowHeight="14.5" x14ac:dyDescent="0.35"/>
  <cols>
    <col min="1" max="1" width="14.7265625" style="37" customWidth="1"/>
    <col min="2" max="2" width="8.7265625" style="37"/>
    <col min="3" max="3" width="28.08984375" style="37" bestFit="1" customWidth="1"/>
    <col min="4" max="4" width="9" style="37" bestFit="1" customWidth="1"/>
    <col min="5" max="5" width="14.90625" style="37" bestFit="1" customWidth="1"/>
    <col min="6" max="6" width="19.54296875" style="37" bestFit="1" customWidth="1"/>
    <col min="7" max="7" width="26.6328125" style="37" bestFit="1" customWidth="1"/>
    <col min="8" max="8" width="12.54296875" style="37" customWidth="1"/>
    <col min="9" max="9" width="15.26953125" style="37" hidden="1" customWidth="1"/>
    <col min="10" max="11" width="0" style="37" hidden="1" customWidth="1"/>
    <col min="12" max="13" width="0" style="10" hidden="1" customWidth="1"/>
    <col min="14" max="14" width="0" style="6" hidden="1" customWidth="1"/>
    <col min="15" max="16384" width="8.7265625" style="10"/>
  </cols>
  <sheetData>
    <row r="1" spans="1:16" ht="64.5" customHeigh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386</v>
      </c>
      <c r="I1" s="27" t="s">
        <v>387</v>
      </c>
      <c r="J1" s="20" t="s">
        <v>9</v>
      </c>
      <c r="K1" s="20" t="s">
        <v>10</v>
      </c>
      <c r="L1" s="28" t="s">
        <v>276</v>
      </c>
      <c r="M1" s="28"/>
      <c r="N1" s="29" t="s">
        <v>283</v>
      </c>
      <c r="O1" s="28" t="s">
        <v>547</v>
      </c>
      <c r="P1" s="28" t="s">
        <v>548</v>
      </c>
    </row>
    <row r="2" spans="1:16" s="13" customFormat="1" x14ac:dyDescent="0.35">
      <c r="A2" s="38" t="s">
        <v>289</v>
      </c>
      <c r="B2" s="38" t="s">
        <v>388</v>
      </c>
      <c r="C2" s="38" t="s">
        <v>389</v>
      </c>
      <c r="D2" s="38" t="s">
        <v>11</v>
      </c>
      <c r="E2" s="38" t="s">
        <v>390</v>
      </c>
      <c r="F2" s="38" t="s">
        <v>391</v>
      </c>
      <c r="G2" s="38" t="s">
        <v>392</v>
      </c>
      <c r="H2" s="39">
        <v>885</v>
      </c>
      <c r="I2" s="39">
        <v>960</v>
      </c>
      <c r="J2" s="38" t="s">
        <v>12</v>
      </c>
      <c r="K2" s="38" t="s">
        <v>13</v>
      </c>
      <c r="L2" s="13">
        <f>H2/5</f>
        <v>177</v>
      </c>
      <c r="M2" s="13">
        <f>I2/5</f>
        <v>192</v>
      </c>
      <c r="N2" s="40">
        <f t="shared" ref="N2:N29" si="0">(I2-H2)/H2</f>
        <v>8.4745762711864403E-2</v>
      </c>
      <c r="O2" s="46">
        <v>0.12</v>
      </c>
      <c r="P2" s="46">
        <v>0.15</v>
      </c>
    </row>
    <row r="3" spans="1:16" s="13" customFormat="1" x14ac:dyDescent="0.35">
      <c r="A3" s="38" t="s">
        <v>289</v>
      </c>
      <c r="B3" s="38" t="s">
        <v>388</v>
      </c>
      <c r="C3" s="38" t="s">
        <v>389</v>
      </c>
      <c r="D3" s="38" t="s">
        <v>11</v>
      </c>
      <c r="E3" s="38" t="s">
        <v>393</v>
      </c>
      <c r="F3" s="38" t="s">
        <v>394</v>
      </c>
      <c r="G3" s="38" t="s">
        <v>395</v>
      </c>
      <c r="H3" s="39">
        <v>1770</v>
      </c>
      <c r="I3" s="39">
        <v>1921</v>
      </c>
      <c r="J3" s="38" t="s">
        <v>12</v>
      </c>
      <c r="K3" s="38" t="s">
        <v>13</v>
      </c>
      <c r="L3" s="13">
        <f>H3/10</f>
        <v>177</v>
      </c>
      <c r="M3" s="13">
        <f>I3/10</f>
        <v>192.1</v>
      </c>
      <c r="N3" s="40">
        <f t="shared" si="0"/>
        <v>8.5310734463276833E-2</v>
      </c>
      <c r="O3" s="46">
        <v>0.12</v>
      </c>
      <c r="P3" s="46">
        <v>0.15</v>
      </c>
    </row>
    <row r="4" spans="1:16" s="13" customFormat="1" x14ac:dyDescent="0.35">
      <c r="A4" s="38" t="s">
        <v>289</v>
      </c>
      <c r="B4" s="38" t="s">
        <v>388</v>
      </c>
      <c r="C4" s="38" t="s">
        <v>389</v>
      </c>
      <c r="D4" s="38" t="s">
        <v>11</v>
      </c>
      <c r="E4" s="38" t="s">
        <v>396</v>
      </c>
      <c r="F4" s="38" t="s">
        <v>397</v>
      </c>
      <c r="G4" s="38" t="s">
        <v>398</v>
      </c>
      <c r="H4" s="39">
        <v>1714</v>
      </c>
      <c r="I4" s="39">
        <v>2000</v>
      </c>
      <c r="J4" s="38" t="s">
        <v>12</v>
      </c>
      <c r="K4" s="38" t="s">
        <v>13</v>
      </c>
      <c r="L4" s="13">
        <f t="shared" ref="L4" si="1">H4/12</f>
        <v>142.83333333333334</v>
      </c>
      <c r="M4" s="13">
        <f>I4/12</f>
        <v>166.66666666666666</v>
      </c>
      <c r="N4" s="40">
        <f t="shared" si="0"/>
        <v>0.16686114352392065</v>
      </c>
      <c r="O4" s="46">
        <v>0.12</v>
      </c>
      <c r="P4" s="46">
        <v>0.15</v>
      </c>
    </row>
    <row r="5" spans="1:16" s="13" customFormat="1" x14ac:dyDescent="0.35">
      <c r="A5" s="38" t="s">
        <v>289</v>
      </c>
      <c r="B5" s="38" t="s">
        <v>388</v>
      </c>
      <c r="C5" s="38" t="s">
        <v>389</v>
      </c>
      <c r="D5" s="38" t="s">
        <v>11</v>
      </c>
      <c r="E5" s="38" t="s">
        <v>399</v>
      </c>
      <c r="F5" s="38" t="s">
        <v>400</v>
      </c>
      <c r="G5" s="38" t="s">
        <v>401</v>
      </c>
      <c r="H5" s="39">
        <v>8850</v>
      </c>
      <c r="I5" s="39">
        <v>9600</v>
      </c>
      <c r="J5" s="38" t="s">
        <v>12</v>
      </c>
      <c r="K5" s="38" t="s">
        <v>13</v>
      </c>
      <c r="L5" s="13">
        <f t="shared" ref="L5" si="2">H5/70</f>
        <v>126.42857142857143</v>
      </c>
      <c r="M5" s="13">
        <f>I5/70</f>
        <v>137.14285714285714</v>
      </c>
      <c r="N5" s="40">
        <f t="shared" si="0"/>
        <v>8.4745762711864403E-2</v>
      </c>
      <c r="O5" s="46">
        <v>0.12</v>
      </c>
      <c r="P5" s="46">
        <v>0.15</v>
      </c>
    </row>
    <row r="6" spans="1:16" s="13" customFormat="1" x14ac:dyDescent="0.35">
      <c r="A6" s="38" t="s">
        <v>289</v>
      </c>
      <c r="B6" s="38" t="s">
        <v>388</v>
      </c>
      <c r="C6" s="38" t="s">
        <v>389</v>
      </c>
      <c r="D6" s="38" t="s">
        <v>11</v>
      </c>
      <c r="E6" s="38" t="s">
        <v>402</v>
      </c>
      <c r="F6" s="38" t="s">
        <v>403</v>
      </c>
      <c r="G6" s="38" t="s">
        <v>404</v>
      </c>
      <c r="H6" s="39">
        <v>10620</v>
      </c>
      <c r="I6" s="39">
        <v>11700</v>
      </c>
      <c r="J6" s="38" t="s">
        <v>12</v>
      </c>
      <c r="K6" s="38" t="s">
        <v>13</v>
      </c>
      <c r="L6" s="13">
        <f t="shared" ref="L6" si="3">H6/80</f>
        <v>132.75</v>
      </c>
      <c r="M6" s="13">
        <f>I6/80</f>
        <v>146.25</v>
      </c>
      <c r="N6" s="40">
        <f t="shared" si="0"/>
        <v>0.10169491525423729</v>
      </c>
      <c r="O6" s="46">
        <v>0.12</v>
      </c>
      <c r="P6" s="46">
        <v>0.15</v>
      </c>
    </row>
    <row r="7" spans="1:16" s="13" customFormat="1" x14ac:dyDescent="0.35">
      <c r="A7" s="38" t="s">
        <v>289</v>
      </c>
      <c r="B7" s="38" t="s">
        <v>388</v>
      </c>
      <c r="C7" s="38" t="s">
        <v>389</v>
      </c>
      <c r="D7" s="38" t="s">
        <v>11</v>
      </c>
      <c r="E7" s="38" t="s">
        <v>405</v>
      </c>
      <c r="F7" s="38" t="s">
        <v>406</v>
      </c>
      <c r="G7" s="38" t="s">
        <v>407</v>
      </c>
      <c r="H7" s="39">
        <v>11924</v>
      </c>
      <c r="I7" s="39">
        <v>13500</v>
      </c>
      <c r="J7" s="38" t="s">
        <v>12</v>
      </c>
      <c r="K7" s="38" t="s">
        <v>13</v>
      </c>
      <c r="L7" s="13">
        <f>H7/90</f>
        <v>132.48888888888888</v>
      </c>
      <c r="M7" s="13">
        <f>I7/90</f>
        <v>150</v>
      </c>
      <c r="N7" s="40">
        <f t="shared" si="0"/>
        <v>0.13217041261321705</v>
      </c>
      <c r="O7" s="46">
        <v>0.12</v>
      </c>
      <c r="P7" s="46">
        <v>0.15</v>
      </c>
    </row>
    <row r="8" spans="1:16" s="13" customFormat="1" x14ac:dyDescent="0.35">
      <c r="A8" s="38" t="s">
        <v>289</v>
      </c>
      <c r="B8" s="38" t="s">
        <v>388</v>
      </c>
      <c r="C8" s="38" t="s">
        <v>389</v>
      </c>
      <c r="D8" s="38" t="s">
        <v>11</v>
      </c>
      <c r="E8" s="38" t="s">
        <v>408</v>
      </c>
      <c r="F8" s="38" t="s">
        <v>409</v>
      </c>
      <c r="G8" s="38" t="s">
        <v>410</v>
      </c>
      <c r="H8" s="39">
        <v>17700</v>
      </c>
      <c r="I8" s="39">
        <v>19500</v>
      </c>
      <c r="J8" s="38" t="s">
        <v>12</v>
      </c>
      <c r="K8" s="38" t="s">
        <v>13</v>
      </c>
      <c r="L8" s="13">
        <f t="shared" ref="L8" si="4">H8/140</f>
        <v>126.42857142857143</v>
      </c>
      <c r="M8" s="13">
        <f>I8/140</f>
        <v>139.28571428571428</v>
      </c>
      <c r="N8" s="40">
        <f t="shared" si="0"/>
        <v>0.10169491525423729</v>
      </c>
      <c r="O8" s="46">
        <v>0.12</v>
      </c>
      <c r="P8" s="46">
        <v>0.15</v>
      </c>
    </row>
    <row r="9" spans="1:16" s="13" customFormat="1" x14ac:dyDescent="0.35">
      <c r="A9" s="38" t="s">
        <v>289</v>
      </c>
      <c r="B9" s="38" t="s">
        <v>388</v>
      </c>
      <c r="C9" s="38" t="s">
        <v>389</v>
      </c>
      <c r="D9" s="38" t="s">
        <v>11</v>
      </c>
      <c r="E9" s="38" t="s">
        <v>411</v>
      </c>
      <c r="F9" s="38" t="s">
        <v>412</v>
      </c>
      <c r="G9" s="38" t="s">
        <v>413</v>
      </c>
      <c r="H9" s="39">
        <v>18585</v>
      </c>
      <c r="I9" s="39">
        <v>20400</v>
      </c>
      <c r="J9" s="38" t="s">
        <v>12</v>
      </c>
      <c r="K9" s="38" t="s">
        <v>13</v>
      </c>
      <c r="L9" s="13">
        <f>H9/145</f>
        <v>128.17241379310346</v>
      </c>
      <c r="M9" s="13">
        <f>I9/145</f>
        <v>140.68965517241378</v>
      </c>
      <c r="N9" s="40">
        <f t="shared" si="0"/>
        <v>9.7659402744148513E-2</v>
      </c>
      <c r="O9" s="46">
        <v>0.12</v>
      </c>
      <c r="P9" s="46">
        <v>0.15</v>
      </c>
    </row>
    <row r="10" spans="1:16" s="13" customFormat="1" x14ac:dyDescent="0.35">
      <c r="A10" s="38" t="s">
        <v>289</v>
      </c>
      <c r="B10" s="38" t="s">
        <v>388</v>
      </c>
      <c r="C10" s="38" t="s">
        <v>389</v>
      </c>
      <c r="D10" s="38" t="s">
        <v>11</v>
      </c>
      <c r="E10" s="38" t="s">
        <v>414</v>
      </c>
      <c r="F10" s="38" t="s">
        <v>415</v>
      </c>
      <c r="G10" s="38" t="s">
        <v>416</v>
      </c>
      <c r="H10" s="39">
        <v>19470</v>
      </c>
      <c r="I10" s="39">
        <v>21400</v>
      </c>
      <c r="J10" s="38" t="s">
        <v>12</v>
      </c>
      <c r="K10" s="38" t="s">
        <v>13</v>
      </c>
      <c r="L10" s="13">
        <f t="shared" ref="L10" si="5">H10/150</f>
        <v>129.80000000000001</v>
      </c>
      <c r="M10" s="13">
        <f>I10/150</f>
        <v>142.66666666666666</v>
      </c>
      <c r="N10" s="40">
        <f t="shared" si="0"/>
        <v>9.9126861838726252E-2</v>
      </c>
      <c r="O10" s="46">
        <v>0.12</v>
      </c>
      <c r="P10" s="46">
        <v>0.15</v>
      </c>
    </row>
    <row r="11" spans="1:16" s="13" customFormat="1" x14ac:dyDescent="0.35">
      <c r="A11" s="38" t="s">
        <v>289</v>
      </c>
      <c r="B11" s="38" t="s">
        <v>388</v>
      </c>
      <c r="C11" s="38" t="s">
        <v>389</v>
      </c>
      <c r="D11" s="38" t="s">
        <v>11</v>
      </c>
      <c r="E11" s="38" t="s">
        <v>417</v>
      </c>
      <c r="F11" s="38" t="s">
        <v>418</v>
      </c>
      <c r="G11" s="38" t="s">
        <v>419</v>
      </c>
      <c r="H11" s="39">
        <v>26550</v>
      </c>
      <c r="I11" s="39">
        <v>29200</v>
      </c>
      <c r="J11" s="38" t="s">
        <v>12</v>
      </c>
      <c r="K11" s="38" t="s">
        <v>13</v>
      </c>
      <c r="L11" s="13">
        <f t="shared" ref="L11" si="6">H11/210</f>
        <v>126.42857142857143</v>
      </c>
      <c r="M11" s="13">
        <f>I11/210</f>
        <v>139.04761904761904</v>
      </c>
      <c r="N11" s="40">
        <f t="shared" si="0"/>
        <v>9.9811676082862524E-2</v>
      </c>
      <c r="O11" s="46">
        <v>0.12</v>
      </c>
      <c r="P11" s="46">
        <v>0.15</v>
      </c>
    </row>
    <row r="12" spans="1:16" s="13" customFormat="1" x14ac:dyDescent="0.35">
      <c r="A12" s="38" t="s">
        <v>289</v>
      </c>
      <c r="B12" s="38" t="s">
        <v>388</v>
      </c>
      <c r="C12" s="38" t="s">
        <v>389</v>
      </c>
      <c r="D12" s="38" t="s">
        <v>11</v>
      </c>
      <c r="E12" s="38" t="s">
        <v>420</v>
      </c>
      <c r="F12" s="38" t="s">
        <v>421</v>
      </c>
      <c r="G12" s="38" t="s">
        <v>422</v>
      </c>
      <c r="H12" s="39">
        <v>35400</v>
      </c>
      <c r="I12" s="39">
        <v>39000</v>
      </c>
      <c r="J12" s="38" t="s">
        <v>12</v>
      </c>
      <c r="K12" s="38" t="s">
        <v>13</v>
      </c>
      <c r="L12" s="13">
        <f t="shared" ref="L12" si="7">H12/280</f>
        <v>126.42857142857143</v>
      </c>
      <c r="M12" s="13">
        <f>I12/280</f>
        <v>139.28571428571428</v>
      </c>
      <c r="N12" s="40">
        <f t="shared" si="0"/>
        <v>0.10169491525423729</v>
      </c>
      <c r="O12" s="46">
        <v>0.12</v>
      </c>
      <c r="P12" s="46">
        <v>0.15</v>
      </c>
    </row>
    <row r="13" spans="1:16" s="13" customFormat="1" x14ac:dyDescent="0.35">
      <c r="A13" s="38" t="s">
        <v>289</v>
      </c>
      <c r="B13" s="38" t="s">
        <v>388</v>
      </c>
      <c r="C13" s="38" t="s">
        <v>389</v>
      </c>
      <c r="D13" s="38" t="s">
        <v>11</v>
      </c>
      <c r="E13" s="38" t="s">
        <v>423</v>
      </c>
      <c r="F13" s="38" t="s">
        <v>424</v>
      </c>
      <c r="G13" s="38" t="s">
        <v>425</v>
      </c>
      <c r="H13" s="39">
        <v>45992</v>
      </c>
      <c r="I13" s="39">
        <v>51850</v>
      </c>
      <c r="J13" s="38" t="s">
        <v>12</v>
      </c>
      <c r="K13" s="38" t="s">
        <v>13</v>
      </c>
      <c r="L13" s="13">
        <f>H13/375</f>
        <v>122.64533333333334</v>
      </c>
      <c r="M13" s="13">
        <f>I13/375</f>
        <v>138.26666666666668</v>
      </c>
      <c r="N13" s="40">
        <f t="shared" si="0"/>
        <v>0.12736997738737171</v>
      </c>
      <c r="O13" s="46">
        <v>0.12</v>
      </c>
      <c r="P13" s="46">
        <v>0.15</v>
      </c>
    </row>
    <row r="14" spans="1:16" s="13" customFormat="1" x14ac:dyDescent="0.35">
      <c r="A14" s="38" t="s">
        <v>289</v>
      </c>
      <c r="B14" s="38" t="s">
        <v>388</v>
      </c>
      <c r="C14" s="38" t="s">
        <v>389</v>
      </c>
      <c r="D14" s="38" t="s">
        <v>11</v>
      </c>
      <c r="E14" s="38" t="s">
        <v>426</v>
      </c>
      <c r="F14" s="38" t="s">
        <v>427</v>
      </c>
      <c r="G14" s="38" t="s">
        <v>428</v>
      </c>
      <c r="H14" s="39">
        <v>48858</v>
      </c>
      <c r="I14" s="39">
        <v>56700</v>
      </c>
      <c r="J14" s="38" t="s">
        <v>12</v>
      </c>
      <c r="K14" s="38" t="s">
        <v>13</v>
      </c>
      <c r="L14" s="13">
        <f>H14/405</f>
        <v>120.63703703703703</v>
      </c>
      <c r="M14" s="13">
        <f>I14/405</f>
        <v>140</v>
      </c>
      <c r="N14" s="40">
        <f t="shared" si="0"/>
        <v>0.16050595603585902</v>
      </c>
      <c r="O14" s="46">
        <v>0.12</v>
      </c>
      <c r="P14" s="46">
        <v>0.15</v>
      </c>
    </row>
    <row r="15" spans="1:16" s="13" customFormat="1" x14ac:dyDescent="0.35">
      <c r="A15" s="38" t="s">
        <v>289</v>
      </c>
      <c r="B15" s="38" t="s">
        <v>388</v>
      </c>
      <c r="C15" s="38" t="s">
        <v>389</v>
      </c>
      <c r="D15" s="38" t="s">
        <v>11</v>
      </c>
      <c r="E15" s="38" t="s">
        <v>429</v>
      </c>
      <c r="F15" s="38" t="s">
        <v>430</v>
      </c>
      <c r="G15" s="38" t="s">
        <v>431</v>
      </c>
      <c r="H15" s="39">
        <v>53100</v>
      </c>
      <c r="I15" s="39">
        <v>57900</v>
      </c>
      <c r="J15" s="38" t="s">
        <v>12</v>
      </c>
      <c r="K15" s="38" t="s">
        <v>13</v>
      </c>
      <c r="L15" s="13">
        <f t="shared" ref="L15" si="8">H15/420</f>
        <v>126.42857142857143</v>
      </c>
      <c r="M15" s="13">
        <f>I15/420</f>
        <v>137.85714285714286</v>
      </c>
      <c r="N15" s="40">
        <f t="shared" si="0"/>
        <v>9.03954802259887E-2</v>
      </c>
      <c r="O15" s="46">
        <v>0.12</v>
      </c>
      <c r="P15" s="46">
        <v>0.15</v>
      </c>
    </row>
    <row r="16" spans="1:16" s="13" customFormat="1" x14ac:dyDescent="0.35">
      <c r="A16" s="38" t="s">
        <v>289</v>
      </c>
      <c r="B16" s="38" t="s">
        <v>388</v>
      </c>
      <c r="C16" s="38" t="s">
        <v>389</v>
      </c>
      <c r="D16" s="38" t="s">
        <v>11</v>
      </c>
      <c r="E16" s="38" t="s">
        <v>432</v>
      </c>
      <c r="F16" s="38" t="s">
        <v>433</v>
      </c>
      <c r="G16" s="38" t="s">
        <v>434</v>
      </c>
      <c r="H16" s="39">
        <v>59619</v>
      </c>
      <c r="I16" s="39">
        <v>67200</v>
      </c>
      <c r="J16" s="38" t="s">
        <v>12</v>
      </c>
      <c r="K16" s="38" t="s">
        <v>13</v>
      </c>
      <c r="L16" s="13">
        <f>H16/495</f>
        <v>120.44242424242424</v>
      </c>
      <c r="M16" s="13">
        <f>I16/495</f>
        <v>135.75757575757575</v>
      </c>
      <c r="N16" s="40">
        <f t="shared" si="0"/>
        <v>0.12715744980626981</v>
      </c>
      <c r="O16" s="46">
        <v>0.12</v>
      </c>
      <c r="P16" s="46">
        <v>0.15</v>
      </c>
    </row>
    <row r="17" spans="1:16" s="13" customFormat="1" x14ac:dyDescent="0.35">
      <c r="A17" s="38" t="s">
        <v>289</v>
      </c>
      <c r="B17" s="38" t="s">
        <v>388</v>
      </c>
      <c r="C17" s="38" t="s">
        <v>389</v>
      </c>
      <c r="D17" s="38" t="s">
        <v>11</v>
      </c>
      <c r="E17" s="38" t="s">
        <v>435</v>
      </c>
      <c r="F17" s="38" t="s">
        <v>436</v>
      </c>
      <c r="G17" s="38" t="s">
        <v>437</v>
      </c>
      <c r="H17" s="39">
        <v>62835</v>
      </c>
      <c r="I17" s="39">
        <v>69900</v>
      </c>
      <c r="J17" s="38" t="s">
        <v>12</v>
      </c>
      <c r="K17" s="38" t="s">
        <v>13</v>
      </c>
      <c r="L17" s="13">
        <f t="shared" ref="L17" si="9">H17/500</f>
        <v>125.67</v>
      </c>
      <c r="M17" s="13">
        <f>I17/500</f>
        <v>139.80000000000001</v>
      </c>
      <c r="N17" s="40">
        <f t="shared" si="0"/>
        <v>0.11243733587968489</v>
      </c>
      <c r="O17" s="46">
        <v>0.12</v>
      </c>
      <c r="P17" s="46">
        <v>0.15</v>
      </c>
    </row>
    <row r="18" spans="1:16" s="13" customFormat="1" x14ac:dyDescent="0.35">
      <c r="A18" s="38" t="s">
        <v>289</v>
      </c>
      <c r="B18" s="38" t="s">
        <v>388</v>
      </c>
      <c r="C18" s="38" t="s">
        <v>389</v>
      </c>
      <c r="D18" s="38" t="s">
        <v>11</v>
      </c>
      <c r="E18" s="38" t="s">
        <v>438</v>
      </c>
      <c r="F18" s="38" t="s">
        <v>439</v>
      </c>
      <c r="G18" s="38" t="s">
        <v>440</v>
      </c>
      <c r="H18" s="39">
        <v>74098</v>
      </c>
      <c r="I18" s="39">
        <v>83500</v>
      </c>
      <c r="J18" s="38" t="s">
        <v>12</v>
      </c>
      <c r="K18" s="38" t="s">
        <v>13</v>
      </c>
      <c r="L18" s="13">
        <f>H18/600</f>
        <v>123.49666666666667</v>
      </c>
      <c r="M18" s="13">
        <f>I18/600</f>
        <v>139.16666666666666</v>
      </c>
      <c r="N18" s="40">
        <f t="shared" si="0"/>
        <v>0.12688601581689116</v>
      </c>
      <c r="O18" s="46">
        <v>0.12</v>
      </c>
      <c r="P18" s="46">
        <v>0.15</v>
      </c>
    </row>
    <row r="19" spans="1:16" s="13" customFormat="1" x14ac:dyDescent="0.35">
      <c r="A19" s="38" t="s">
        <v>289</v>
      </c>
      <c r="B19" s="38" t="s">
        <v>388</v>
      </c>
      <c r="C19" s="38" t="s">
        <v>389</v>
      </c>
      <c r="D19" s="38" t="s">
        <v>11</v>
      </c>
      <c r="E19" s="38" t="s">
        <v>441</v>
      </c>
      <c r="F19" s="38" t="s">
        <v>442</v>
      </c>
      <c r="G19" s="38" t="s">
        <v>443</v>
      </c>
      <c r="H19" s="39">
        <v>91443</v>
      </c>
      <c r="I19" s="39">
        <v>103000</v>
      </c>
      <c r="J19" s="38" t="s">
        <v>12</v>
      </c>
      <c r="K19" s="38" t="s">
        <v>13</v>
      </c>
      <c r="L19" s="13">
        <f>H19/770</f>
        <v>118.75714285714285</v>
      </c>
      <c r="M19" s="13">
        <f>I19/770</f>
        <v>133.76623376623377</v>
      </c>
      <c r="N19" s="40">
        <f t="shared" si="0"/>
        <v>0.12638474240783876</v>
      </c>
      <c r="O19" s="46">
        <v>0.12</v>
      </c>
      <c r="P19" s="46">
        <v>0.15</v>
      </c>
    </row>
    <row r="20" spans="1:16" s="13" customFormat="1" x14ac:dyDescent="0.35">
      <c r="A20" s="38" t="s">
        <v>289</v>
      </c>
      <c r="B20" s="38" t="s">
        <v>388</v>
      </c>
      <c r="C20" s="38" t="s">
        <v>389</v>
      </c>
      <c r="D20" s="38" t="s">
        <v>11</v>
      </c>
      <c r="E20" s="38" t="s">
        <v>444</v>
      </c>
      <c r="F20" s="38" t="s">
        <v>445</v>
      </c>
      <c r="G20" s="38" t="s">
        <v>446</v>
      </c>
      <c r="H20" s="39">
        <v>113276</v>
      </c>
      <c r="I20" s="39">
        <v>125000</v>
      </c>
      <c r="J20" s="38" t="s">
        <v>12</v>
      </c>
      <c r="K20" s="38" t="s">
        <v>13</v>
      </c>
      <c r="L20" s="13">
        <f>H20/925</f>
        <v>122.46054054054053</v>
      </c>
      <c r="M20" s="13">
        <f>I20/925</f>
        <v>135.13513513513513</v>
      </c>
      <c r="N20" s="40">
        <f t="shared" si="0"/>
        <v>0.10349941735230764</v>
      </c>
      <c r="O20" s="46">
        <v>0.12</v>
      </c>
      <c r="P20" s="46">
        <v>0.15</v>
      </c>
    </row>
    <row r="21" spans="1:16" s="13" customFormat="1" x14ac:dyDescent="0.35">
      <c r="A21" s="38" t="s">
        <v>289</v>
      </c>
      <c r="B21" s="38" t="s">
        <v>388</v>
      </c>
      <c r="C21" s="38" t="s">
        <v>389</v>
      </c>
      <c r="D21" s="38" t="s">
        <v>11</v>
      </c>
      <c r="E21" s="38" t="s">
        <v>447</v>
      </c>
      <c r="F21" s="38" t="s">
        <v>448</v>
      </c>
      <c r="G21" s="38" t="s">
        <v>449</v>
      </c>
      <c r="H21" s="39">
        <v>170340</v>
      </c>
      <c r="I21" s="39">
        <v>192000</v>
      </c>
      <c r="J21" s="38" t="s">
        <v>12</v>
      </c>
      <c r="K21" s="38" t="s">
        <v>13</v>
      </c>
      <c r="L21" s="13">
        <f>H21/1440</f>
        <v>118.29166666666667</v>
      </c>
      <c r="M21" s="13">
        <f>I21/1440</f>
        <v>133.33333333333334</v>
      </c>
      <c r="N21" s="40">
        <f t="shared" si="0"/>
        <v>0.12715744980626981</v>
      </c>
      <c r="O21" s="46">
        <v>0.12</v>
      </c>
      <c r="P21" s="46">
        <v>0.15</v>
      </c>
    </row>
    <row r="22" spans="1:16" s="13" customFormat="1" x14ac:dyDescent="0.35">
      <c r="A22" s="38" t="s">
        <v>289</v>
      </c>
      <c r="B22" s="38" t="s">
        <v>388</v>
      </c>
      <c r="C22" s="38" t="s">
        <v>389</v>
      </c>
      <c r="D22" s="38" t="s">
        <v>11</v>
      </c>
      <c r="E22" s="38" t="s">
        <v>450</v>
      </c>
      <c r="F22" s="38" t="s">
        <v>451</v>
      </c>
      <c r="G22" s="38" t="s">
        <v>452</v>
      </c>
      <c r="H22" s="39">
        <v>255510</v>
      </c>
      <c r="I22" s="39">
        <v>288000</v>
      </c>
      <c r="J22" s="38" t="s">
        <v>12</v>
      </c>
      <c r="K22" s="38" t="s">
        <v>13</v>
      </c>
      <c r="L22" s="13">
        <f>H22/2160</f>
        <v>118.29166666666667</v>
      </c>
      <c r="M22" s="13">
        <f>I22/2160</f>
        <v>133.33333333333334</v>
      </c>
      <c r="N22" s="40">
        <f t="shared" si="0"/>
        <v>0.12715744980626981</v>
      </c>
      <c r="O22" s="46">
        <v>0.12</v>
      </c>
      <c r="P22" s="46">
        <v>0.15</v>
      </c>
    </row>
    <row r="23" spans="1:16" s="13" customFormat="1" x14ac:dyDescent="0.35">
      <c r="A23" s="38" t="s">
        <v>289</v>
      </c>
      <c r="B23" s="38" t="s">
        <v>388</v>
      </c>
      <c r="C23" s="38" t="s">
        <v>389</v>
      </c>
      <c r="D23" s="38" t="s">
        <v>11</v>
      </c>
      <c r="E23" s="38" t="s">
        <v>453</v>
      </c>
      <c r="F23" s="38" t="s">
        <v>454</v>
      </c>
      <c r="G23" s="38" t="s">
        <v>455</v>
      </c>
      <c r="H23" s="39">
        <v>279669</v>
      </c>
      <c r="I23" s="39">
        <v>315300</v>
      </c>
      <c r="J23" s="38" t="s">
        <v>12</v>
      </c>
      <c r="K23" s="38" t="s">
        <v>13</v>
      </c>
      <c r="L23" s="13">
        <f>H23/2355</f>
        <v>118.75541401273885</v>
      </c>
      <c r="M23" s="13">
        <f>I23/2355</f>
        <v>133.88535031847132</v>
      </c>
      <c r="N23" s="40">
        <f t="shared" si="0"/>
        <v>0.12740418137154993</v>
      </c>
      <c r="O23" s="46">
        <v>0.12</v>
      </c>
      <c r="P23" s="46">
        <v>0.15</v>
      </c>
    </row>
    <row r="24" spans="1:16" s="13" customFormat="1" x14ac:dyDescent="0.35">
      <c r="A24" s="38" t="s">
        <v>289</v>
      </c>
      <c r="B24" s="38" t="s">
        <v>388</v>
      </c>
      <c r="C24" s="38" t="s">
        <v>389</v>
      </c>
      <c r="D24" s="38" t="s">
        <v>11</v>
      </c>
      <c r="E24" s="38" t="s">
        <v>456</v>
      </c>
      <c r="F24" s="38" t="s">
        <v>457</v>
      </c>
      <c r="G24" s="38" t="s">
        <v>458</v>
      </c>
      <c r="H24" s="39">
        <v>323646</v>
      </c>
      <c r="I24" s="39">
        <v>364800</v>
      </c>
      <c r="J24" s="38" t="s">
        <v>12</v>
      </c>
      <c r="K24" s="38" t="s">
        <v>13</v>
      </c>
      <c r="L24" s="13">
        <f>H24/2725</f>
        <v>118.76917431192661</v>
      </c>
      <c r="M24" s="13">
        <f>I24/2725</f>
        <v>133.87155963302752</v>
      </c>
      <c r="N24" s="40">
        <f t="shared" si="0"/>
        <v>0.12715744980626981</v>
      </c>
      <c r="O24" s="46">
        <v>0.12</v>
      </c>
      <c r="P24" s="46">
        <v>0.15</v>
      </c>
    </row>
    <row r="25" spans="1:16" s="13" customFormat="1" x14ac:dyDescent="0.35">
      <c r="A25" s="38" t="s">
        <v>289</v>
      </c>
      <c r="B25" s="38" t="s">
        <v>388</v>
      </c>
      <c r="C25" s="38" t="s">
        <v>389</v>
      </c>
      <c r="D25" s="38" t="s">
        <v>11</v>
      </c>
      <c r="E25" s="38" t="s">
        <v>459</v>
      </c>
      <c r="F25" s="38" t="s">
        <v>460</v>
      </c>
      <c r="G25" s="38" t="s">
        <v>461</v>
      </c>
      <c r="H25" s="39">
        <v>429257</v>
      </c>
      <c r="I25" s="39">
        <v>483000</v>
      </c>
      <c r="J25" s="38" t="s">
        <v>12</v>
      </c>
      <c r="K25" s="38" t="s">
        <v>13</v>
      </c>
      <c r="L25" s="13">
        <f>H25/3620</f>
        <v>118.57928176795581</v>
      </c>
      <c r="M25" s="13">
        <f>I25/3620</f>
        <v>133.42541436464089</v>
      </c>
      <c r="N25" s="40">
        <f t="shared" si="0"/>
        <v>0.12520005497871906</v>
      </c>
      <c r="O25" s="46">
        <v>0.12</v>
      </c>
      <c r="P25" s="46">
        <v>0.15</v>
      </c>
    </row>
    <row r="26" spans="1:16" s="13" customFormat="1" x14ac:dyDescent="0.35">
      <c r="A26" s="38" t="s">
        <v>289</v>
      </c>
      <c r="B26" s="38" t="s">
        <v>388</v>
      </c>
      <c r="C26" s="38" t="s">
        <v>389</v>
      </c>
      <c r="D26" s="38" t="s">
        <v>11</v>
      </c>
      <c r="E26" s="38" t="s">
        <v>462</v>
      </c>
      <c r="F26" s="38" t="s">
        <v>463</v>
      </c>
      <c r="G26" s="38" t="s">
        <v>464</v>
      </c>
      <c r="H26" s="39">
        <v>476100</v>
      </c>
      <c r="I26" s="39">
        <v>536500</v>
      </c>
      <c r="J26" s="38" t="s">
        <v>12</v>
      </c>
      <c r="K26" s="38" t="s">
        <v>13</v>
      </c>
      <c r="L26" s="13">
        <f>H26/4000</f>
        <v>119.02500000000001</v>
      </c>
      <c r="M26" s="13">
        <f>I26/4000</f>
        <v>134.125</v>
      </c>
      <c r="N26" s="40">
        <f t="shared" si="0"/>
        <v>0.12686410417979416</v>
      </c>
      <c r="O26" s="46">
        <v>0.12</v>
      </c>
      <c r="P26" s="46">
        <v>0.15</v>
      </c>
    </row>
    <row r="27" spans="1:16" s="13" customFormat="1" x14ac:dyDescent="0.35">
      <c r="A27" s="38" t="s">
        <v>289</v>
      </c>
      <c r="B27" s="38" t="s">
        <v>465</v>
      </c>
      <c r="C27" s="38" t="s">
        <v>466</v>
      </c>
      <c r="D27" s="38" t="s">
        <v>467</v>
      </c>
      <c r="E27" s="38" t="s">
        <v>468</v>
      </c>
      <c r="F27" s="38" t="s">
        <v>469</v>
      </c>
      <c r="G27" s="38" t="s">
        <v>470</v>
      </c>
      <c r="H27" s="39">
        <v>16737</v>
      </c>
      <c r="I27" s="39">
        <v>18100</v>
      </c>
      <c r="J27" s="38" t="s">
        <v>12</v>
      </c>
      <c r="K27" s="38" t="s">
        <v>13</v>
      </c>
      <c r="L27" s="13">
        <f t="shared" ref="L27" si="10">H27/100</f>
        <v>167.37</v>
      </c>
      <c r="M27" s="13">
        <f>I27/100</f>
        <v>181</v>
      </c>
      <c r="N27" s="40">
        <f t="shared" si="0"/>
        <v>8.1436338650893225E-2</v>
      </c>
      <c r="O27" s="46">
        <v>0.12</v>
      </c>
      <c r="P27" s="46">
        <v>0.15</v>
      </c>
    </row>
    <row r="28" spans="1:16" s="13" customFormat="1" x14ac:dyDescent="0.35">
      <c r="A28" s="38" t="s">
        <v>289</v>
      </c>
      <c r="B28" s="38" t="s">
        <v>465</v>
      </c>
      <c r="C28" s="38" t="s">
        <v>466</v>
      </c>
      <c r="D28" s="38" t="s">
        <v>467</v>
      </c>
      <c r="E28" s="38" t="s">
        <v>471</v>
      </c>
      <c r="F28" s="38" t="s">
        <v>472</v>
      </c>
      <c r="G28" s="38" t="s">
        <v>419</v>
      </c>
      <c r="H28" s="39">
        <v>31676</v>
      </c>
      <c r="I28" s="39">
        <v>35600</v>
      </c>
      <c r="J28" s="38" t="s">
        <v>12</v>
      </c>
      <c r="K28" s="38" t="s">
        <v>13</v>
      </c>
      <c r="L28" s="13">
        <f t="shared" ref="L28" si="11">H28/210</f>
        <v>150.83809523809524</v>
      </c>
      <c r="M28" s="13">
        <f>I28/210</f>
        <v>169.52380952380952</v>
      </c>
      <c r="N28" s="40">
        <f t="shared" si="0"/>
        <v>0.12387927768657658</v>
      </c>
      <c r="O28" s="46">
        <v>0.12</v>
      </c>
      <c r="P28" s="46">
        <v>0.15</v>
      </c>
    </row>
    <row r="29" spans="1:16" s="43" customFormat="1" ht="29" x14ac:dyDescent="0.35">
      <c r="A29" s="41" t="s">
        <v>289</v>
      </c>
      <c r="B29" s="41" t="s">
        <v>473</v>
      </c>
      <c r="C29" s="41" t="s">
        <v>474</v>
      </c>
      <c r="D29" s="41" t="s">
        <v>11</v>
      </c>
      <c r="E29" s="41" t="s">
        <v>475</v>
      </c>
      <c r="F29" s="41" t="s">
        <v>476</v>
      </c>
      <c r="G29" s="41" t="s">
        <v>477</v>
      </c>
      <c r="H29" s="42">
        <v>79222</v>
      </c>
      <c r="I29" s="42">
        <v>87200</v>
      </c>
      <c r="J29" s="41" t="s">
        <v>12</v>
      </c>
      <c r="K29" s="41" t="s">
        <v>13</v>
      </c>
      <c r="L29" s="43">
        <f>H29/520</f>
        <v>152.35</v>
      </c>
      <c r="M29" s="43">
        <f>I29/520</f>
        <v>167.69230769230768</v>
      </c>
      <c r="N29" s="44">
        <f t="shared" si="0"/>
        <v>0.10070434980182273</v>
      </c>
      <c r="O29" s="46">
        <v>0.12</v>
      </c>
      <c r="P29" s="46">
        <v>0.15</v>
      </c>
    </row>
    <row r="30" spans="1:16" s="43" customFormat="1" ht="78" customHeight="1" x14ac:dyDescent="0.35">
      <c r="A30" s="47"/>
      <c r="B30" s="41"/>
      <c r="C30" s="41"/>
      <c r="D30" s="41"/>
      <c r="E30" s="41"/>
      <c r="F30" s="41"/>
      <c r="G30" s="41"/>
      <c r="H30" s="42"/>
      <c r="I30" s="42"/>
      <c r="J30" s="41"/>
      <c r="K30" s="48"/>
      <c r="N30" s="44"/>
      <c r="O30" s="45"/>
      <c r="P30" s="45"/>
    </row>
    <row r="31" spans="1:16" s="43" customFormat="1" ht="78" customHeight="1" x14ac:dyDescent="0.35">
      <c r="A31" s="47"/>
      <c r="B31" s="41"/>
      <c r="C31" s="41"/>
      <c r="D31" s="41"/>
      <c r="E31" s="41"/>
      <c r="F31" s="41"/>
      <c r="G31" s="41"/>
      <c r="H31" s="42"/>
      <c r="I31" s="42"/>
      <c r="J31" s="41"/>
      <c r="K31" s="48"/>
      <c r="N31" s="44"/>
      <c r="O31" s="45"/>
      <c r="P31" s="45"/>
    </row>
    <row r="32" spans="1:16" ht="64.5" customHeight="1" x14ac:dyDescent="0.35">
      <c r="A32" s="33" t="s">
        <v>0</v>
      </c>
      <c r="B32" s="20" t="s">
        <v>1</v>
      </c>
      <c r="C32" s="20" t="s">
        <v>2</v>
      </c>
      <c r="D32" s="20" t="s">
        <v>3</v>
      </c>
      <c r="E32" s="20" t="s">
        <v>4</v>
      </c>
      <c r="F32" s="20" t="s">
        <v>5</v>
      </c>
      <c r="G32" s="20" t="s">
        <v>6</v>
      </c>
      <c r="H32" s="20" t="s">
        <v>386</v>
      </c>
      <c r="I32" s="27" t="s">
        <v>387</v>
      </c>
      <c r="J32" s="34" t="s">
        <v>283</v>
      </c>
      <c r="K32" s="10"/>
      <c r="N32" s="10"/>
      <c r="O32" s="28" t="s">
        <v>547</v>
      </c>
      <c r="P32" s="28" t="s">
        <v>548</v>
      </c>
    </row>
    <row r="33" spans="1:118" s="32" customFormat="1" x14ac:dyDescent="0.35">
      <c r="A33" s="30" t="s">
        <v>16</v>
      </c>
      <c r="B33" s="30" t="s">
        <v>388</v>
      </c>
      <c r="C33" s="30" t="s">
        <v>389</v>
      </c>
      <c r="D33" s="30" t="s">
        <v>11</v>
      </c>
      <c r="E33" s="30" t="s">
        <v>478</v>
      </c>
      <c r="F33" s="30" t="s">
        <v>479</v>
      </c>
      <c r="G33" s="30" t="s">
        <v>480</v>
      </c>
      <c r="H33" s="31">
        <v>4100</v>
      </c>
      <c r="I33" s="35">
        <v>4500</v>
      </c>
      <c r="J33" s="36">
        <f>(I33-H33)/H33</f>
        <v>9.7560975609756101E-2</v>
      </c>
      <c r="K33" s="13"/>
      <c r="L33" s="13"/>
      <c r="M33" s="13"/>
      <c r="N33" s="13"/>
      <c r="O33" s="46">
        <v>0.1</v>
      </c>
      <c r="P33" s="46">
        <v>0.12</v>
      </c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</row>
    <row r="34" spans="1:118" s="32" customFormat="1" x14ac:dyDescent="0.35">
      <c r="A34" s="30" t="s">
        <v>18</v>
      </c>
      <c r="B34" s="30" t="s">
        <v>388</v>
      </c>
      <c r="C34" s="30" t="s">
        <v>389</v>
      </c>
      <c r="D34" s="30" t="s">
        <v>11</v>
      </c>
      <c r="E34" s="30" t="s">
        <v>478</v>
      </c>
      <c r="F34" s="30" t="s">
        <v>481</v>
      </c>
      <c r="G34" s="30" t="s">
        <v>480</v>
      </c>
      <c r="H34" s="31">
        <v>4100</v>
      </c>
      <c r="I34" s="35">
        <v>4500</v>
      </c>
      <c r="J34" s="36">
        <f t="shared" ref="J34:J72" si="12">(I34-H34)/H34</f>
        <v>9.7560975609756101E-2</v>
      </c>
      <c r="K34" s="13"/>
      <c r="L34" s="13"/>
      <c r="M34" s="13"/>
      <c r="N34" s="13"/>
      <c r="O34" s="46">
        <v>0.1</v>
      </c>
      <c r="P34" s="46">
        <v>0.12</v>
      </c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</row>
    <row r="35" spans="1:118" s="32" customFormat="1" x14ac:dyDescent="0.35">
      <c r="A35" s="30" t="s">
        <v>14</v>
      </c>
      <c r="B35" s="30" t="s">
        <v>388</v>
      </c>
      <c r="C35" s="30" t="s">
        <v>389</v>
      </c>
      <c r="D35" s="30" t="s">
        <v>11</v>
      </c>
      <c r="E35" s="30" t="s">
        <v>478</v>
      </c>
      <c r="F35" s="30" t="s">
        <v>482</v>
      </c>
      <c r="G35" s="30" t="s">
        <v>480</v>
      </c>
      <c r="H35" s="31">
        <v>4253</v>
      </c>
      <c r="I35" s="35">
        <v>4700</v>
      </c>
      <c r="J35" s="36">
        <f t="shared" si="12"/>
        <v>0.10510228074300494</v>
      </c>
      <c r="K35" s="13"/>
      <c r="L35" s="13"/>
      <c r="M35" s="13"/>
      <c r="N35" s="13"/>
      <c r="O35" s="46">
        <v>0.1</v>
      </c>
      <c r="P35" s="46">
        <v>0.12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</row>
    <row r="36" spans="1:118" s="32" customFormat="1" x14ac:dyDescent="0.35">
      <c r="A36" s="30" t="s">
        <v>17</v>
      </c>
      <c r="B36" s="30" t="s">
        <v>388</v>
      </c>
      <c r="C36" s="30" t="s">
        <v>389</v>
      </c>
      <c r="D36" s="30" t="s">
        <v>11</v>
      </c>
      <c r="E36" s="30" t="s">
        <v>483</v>
      </c>
      <c r="F36" s="30" t="s">
        <v>484</v>
      </c>
      <c r="G36" s="30" t="s">
        <v>485</v>
      </c>
      <c r="H36" s="31">
        <v>5188</v>
      </c>
      <c r="I36" s="35">
        <v>5700</v>
      </c>
      <c r="J36" s="36">
        <f t="shared" si="12"/>
        <v>9.8689282960678484E-2</v>
      </c>
      <c r="K36" s="13"/>
      <c r="L36" s="13"/>
      <c r="M36" s="13"/>
      <c r="N36" s="13"/>
      <c r="O36" s="46">
        <v>0.1</v>
      </c>
      <c r="P36" s="46">
        <v>0.12</v>
      </c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</row>
    <row r="37" spans="1:118" s="32" customFormat="1" x14ac:dyDescent="0.35">
      <c r="A37" s="30" t="s">
        <v>16</v>
      </c>
      <c r="B37" s="30" t="s">
        <v>388</v>
      </c>
      <c r="C37" s="30" t="s">
        <v>389</v>
      </c>
      <c r="D37" s="30" t="s">
        <v>11</v>
      </c>
      <c r="E37" s="30" t="s">
        <v>486</v>
      </c>
      <c r="F37" s="30" t="s">
        <v>487</v>
      </c>
      <c r="G37" s="30" t="s">
        <v>488</v>
      </c>
      <c r="H37" s="31">
        <v>8200</v>
      </c>
      <c r="I37" s="35">
        <v>9000</v>
      </c>
      <c r="J37" s="36">
        <f t="shared" si="12"/>
        <v>9.7560975609756101E-2</v>
      </c>
      <c r="K37" s="13"/>
      <c r="L37" s="13"/>
      <c r="M37" s="13"/>
      <c r="N37" s="13"/>
      <c r="O37" s="46">
        <v>0.1</v>
      </c>
      <c r="P37" s="46">
        <v>0.12</v>
      </c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</row>
    <row r="38" spans="1:118" s="32" customFormat="1" x14ac:dyDescent="0.35">
      <c r="A38" s="30" t="s">
        <v>18</v>
      </c>
      <c r="B38" s="30" t="s">
        <v>388</v>
      </c>
      <c r="C38" s="30" t="s">
        <v>389</v>
      </c>
      <c r="D38" s="30" t="s">
        <v>11</v>
      </c>
      <c r="E38" s="30" t="s">
        <v>486</v>
      </c>
      <c r="F38" s="30" t="s">
        <v>489</v>
      </c>
      <c r="G38" s="30" t="s">
        <v>488</v>
      </c>
      <c r="H38" s="31">
        <v>8200</v>
      </c>
      <c r="I38" s="35">
        <v>9000</v>
      </c>
      <c r="J38" s="36">
        <f t="shared" si="12"/>
        <v>9.7560975609756101E-2</v>
      </c>
      <c r="K38" s="13"/>
      <c r="L38" s="13"/>
      <c r="M38" s="13"/>
      <c r="N38" s="13"/>
      <c r="O38" s="46">
        <v>0.1</v>
      </c>
      <c r="P38" s="46">
        <v>0.12</v>
      </c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</row>
    <row r="39" spans="1:118" s="32" customFormat="1" x14ac:dyDescent="0.35">
      <c r="A39" s="30" t="s">
        <v>14</v>
      </c>
      <c r="B39" s="30" t="s">
        <v>388</v>
      </c>
      <c r="C39" s="30" t="s">
        <v>389</v>
      </c>
      <c r="D39" s="30" t="s">
        <v>11</v>
      </c>
      <c r="E39" s="30" t="s">
        <v>486</v>
      </c>
      <c r="F39" s="30" t="s">
        <v>490</v>
      </c>
      <c r="G39" s="30" t="s">
        <v>488</v>
      </c>
      <c r="H39" s="31">
        <v>8507</v>
      </c>
      <c r="I39" s="35">
        <v>9400</v>
      </c>
      <c r="J39" s="36">
        <f t="shared" si="12"/>
        <v>0.10497237569060773</v>
      </c>
      <c r="K39" s="13"/>
      <c r="L39" s="13"/>
      <c r="M39" s="13"/>
      <c r="N39" s="13"/>
      <c r="O39" s="46">
        <v>0.1</v>
      </c>
      <c r="P39" s="46">
        <v>0.12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</row>
    <row r="40" spans="1:118" s="32" customFormat="1" x14ac:dyDescent="0.35">
      <c r="A40" s="30" t="s">
        <v>18</v>
      </c>
      <c r="B40" s="30" t="s">
        <v>388</v>
      </c>
      <c r="C40" s="30" t="s">
        <v>389</v>
      </c>
      <c r="D40" s="30" t="s">
        <v>11</v>
      </c>
      <c r="E40" s="30" t="s">
        <v>486</v>
      </c>
      <c r="F40" s="30" t="s">
        <v>491</v>
      </c>
      <c r="G40" s="30" t="s">
        <v>488</v>
      </c>
      <c r="H40" s="31">
        <v>9596</v>
      </c>
      <c r="I40" s="35">
        <v>10600</v>
      </c>
      <c r="J40" s="36">
        <f t="shared" si="12"/>
        <v>0.10462692788661943</v>
      </c>
      <c r="K40" s="13"/>
      <c r="L40" s="13"/>
      <c r="M40" s="13"/>
      <c r="N40" s="13"/>
      <c r="O40" s="46">
        <v>0.1</v>
      </c>
      <c r="P40" s="46">
        <v>0.12</v>
      </c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</row>
    <row r="41" spans="1:118" s="32" customFormat="1" x14ac:dyDescent="0.35">
      <c r="A41" s="30" t="s">
        <v>16</v>
      </c>
      <c r="B41" s="30" t="s">
        <v>388</v>
      </c>
      <c r="C41" s="30" t="s">
        <v>389</v>
      </c>
      <c r="D41" s="30" t="s">
        <v>11</v>
      </c>
      <c r="E41" s="30" t="s">
        <v>492</v>
      </c>
      <c r="F41" s="30" t="s">
        <v>493</v>
      </c>
      <c r="G41" s="30" t="s">
        <v>470</v>
      </c>
      <c r="H41" s="31">
        <v>15745</v>
      </c>
      <c r="I41" s="35">
        <v>17500</v>
      </c>
      <c r="J41" s="36">
        <f t="shared" si="12"/>
        <v>0.11146395681168625</v>
      </c>
      <c r="K41" s="13"/>
      <c r="L41" s="13"/>
      <c r="M41" s="13"/>
      <c r="N41" s="13"/>
      <c r="O41" s="46">
        <v>0.1</v>
      </c>
      <c r="P41" s="46">
        <v>0.12</v>
      </c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</row>
    <row r="42" spans="1:118" s="32" customFormat="1" x14ac:dyDescent="0.35">
      <c r="A42" s="30" t="s">
        <v>18</v>
      </c>
      <c r="B42" s="30" t="s">
        <v>388</v>
      </c>
      <c r="C42" s="30" t="s">
        <v>389</v>
      </c>
      <c r="D42" s="30" t="s">
        <v>11</v>
      </c>
      <c r="E42" s="30" t="s">
        <v>492</v>
      </c>
      <c r="F42" s="30" t="s">
        <v>494</v>
      </c>
      <c r="G42" s="30" t="s">
        <v>470</v>
      </c>
      <c r="H42" s="31">
        <v>15745</v>
      </c>
      <c r="I42" s="35">
        <v>17500</v>
      </c>
      <c r="J42" s="36">
        <f t="shared" si="12"/>
        <v>0.11146395681168625</v>
      </c>
      <c r="K42" s="13"/>
      <c r="L42" s="13"/>
      <c r="M42" s="13"/>
      <c r="N42" s="13"/>
      <c r="O42" s="46">
        <v>0.1</v>
      </c>
      <c r="P42" s="46">
        <v>0.12</v>
      </c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</row>
    <row r="43" spans="1:118" s="32" customFormat="1" x14ac:dyDescent="0.35">
      <c r="A43" s="30" t="s">
        <v>14</v>
      </c>
      <c r="B43" s="30" t="s">
        <v>388</v>
      </c>
      <c r="C43" s="30" t="s">
        <v>389</v>
      </c>
      <c r="D43" s="30" t="s">
        <v>11</v>
      </c>
      <c r="E43" s="30" t="s">
        <v>492</v>
      </c>
      <c r="F43" s="30" t="s">
        <v>495</v>
      </c>
      <c r="G43" s="30" t="s">
        <v>470</v>
      </c>
      <c r="H43" s="31">
        <v>16341</v>
      </c>
      <c r="I43" s="35">
        <v>18000</v>
      </c>
      <c r="J43" s="36">
        <f t="shared" si="12"/>
        <v>0.10152377455480081</v>
      </c>
      <c r="K43" s="13"/>
      <c r="L43" s="13"/>
      <c r="M43" s="13"/>
      <c r="N43" s="13"/>
      <c r="O43" s="46">
        <v>0.1</v>
      </c>
      <c r="P43" s="46">
        <v>0.12</v>
      </c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</row>
    <row r="44" spans="1:118" s="32" customFormat="1" x14ac:dyDescent="0.35">
      <c r="A44" s="30" t="s">
        <v>18</v>
      </c>
      <c r="B44" s="30" t="s">
        <v>388</v>
      </c>
      <c r="C44" s="30" t="s">
        <v>389</v>
      </c>
      <c r="D44" s="30" t="s">
        <v>11</v>
      </c>
      <c r="E44" s="30" t="s">
        <v>492</v>
      </c>
      <c r="F44" s="30" t="s">
        <v>496</v>
      </c>
      <c r="G44" s="30" t="s">
        <v>470</v>
      </c>
      <c r="H44" s="31">
        <v>16341</v>
      </c>
      <c r="I44" s="35">
        <v>18000</v>
      </c>
      <c r="J44" s="36">
        <f t="shared" si="12"/>
        <v>0.10152377455480081</v>
      </c>
      <c r="K44" s="13"/>
      <c r="L44" s="13"/>
      <c r="M44" s="13"/>
      <c r="N44" s="13"/>
      <c r="O44" s="46">
        <v>0.1</v>
      </c>
      <c r="P44" s="46">
        <v>0.12</v>
      </c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</row>
    <row r="45" spans="1:118" s="32" customFormat="1" x14ac:dyDescent="0.35">
      <c r="A45" s="30" t="s">
        <v>16</v>
      </c>
      <c r="B45" s="30" t="s">
        <v>388</v>
      </c>
      <c r="C45" s="30" t="s">
        <v>389</v>
      </c>
      <c r="D45" s="30" t="s">
        <v>11</v>
      </c>
      <c r="E45" s="30" t="s">
        <v>497</v>
      </c>
      <c r="F45" s="30" t="s">
        <v>498</v>
      </c>
      <c r="G45" s="30" t="s">
        <v>499</v>
      </c>
      <c r="H45" s="31">
        <v>31489</v>
      </c>
      <c r="I45" s="35">
        <v>34600</v>
      </c>
      <c r="J45" s="36">
        <f t="shared" si="12"/>
        <v>9.8796405093842299E-2</v>
      </c>
      <c r="K45" s="13"/>
      <c r="L45" s="13"/>
      <c r="M45" s="13"/>
      <c r="N45" s="13"/>
      <c r="O45" s="46">
        <v>0.1</v>
      </c>
      <c r="P45" s="46">
        <v>0.12</v>
      </c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</row>
    <row r="46" spans="1:118" s="32" customFormat="1" x14ac:dyDescent="0.35">
      <c r="A46" s="30" t="s">
        <v>18</v>
      </c>
      <c r="B46" s="30" t="s">
        <v>388</v>
      </c>
      <c r="C46" s="30" t="s">
        <v>389</v>
      </c>
      <c r="D46" s="30" t="s">
        <v>11</v>
      </c>
      <c r="E46" s="30" t="s">
        <v>497</v>
      </c>
      <c r="F46" s="30" t="s">
        <v>500</v>
      </c>
      <c r="G46" s="30" t="s">
        <v>499</v>
      </c>
      <c r="H46" s="31">
        <v>31489</v>
      </c>
      <c r="I46" s="35">
        <v>34600</v>
      </c>
      <c r="J46" s="36">
        <f t="shared" si="12"/>
        <v>9.8796405093842299E-2</v>
      </c>
      <c r="K46" s="13"/>
      <c r="L46" s="13"/>
      <c r="M46" s="13"/>
      <c r="N46" s="13"/>
      <c r="O46" s="46">
        <v>0.1</v>
      </c>
      <c r="P46" s="46">
        <v>0.12</v>
      </c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</row>
    <row r="47" spans="1:118" s="32" customFormat="1" x14ac:dyDescent="0.35">
      <c r="A47" s="30" t="s">
        <v>14</v>
      </c>
      <c r="B47" s="30" t="s">
        <v>388</v>
      </c>
      <c r="C47" s="30" t="s">
        <v>389</v>
      </c>
      <c r="D47" s="30" t="s">
        <v>11</v>
      </c>
      <c r="E47" s="30" t="s">
        <v>497</v>
      </c>
      <c r="F47" s="30" t="s">
        <v>501</v>
      </c>
      <c r="G47" s="30" t="s">
        <v>499</v>
      </c>
      <c r="H47" s="31">
        <v>32683</v>
      </c>
      <c r="I47" s="35">
        <v>36000</v>
      </c>
      <c r="J47" s="36">
        <f t="shared" si="12"/>
        <v>0.10149007129088516</v>
      </c>
      <c r="K47" s="13"/>
      <c r="L47" s="13"/>
      <c r="M47" s="13"/>
      <c r="N47" s="13"/>
      <c r="O47" s="46">
        <v>0.1</v>
      </c>
      <c r="P47" s="46">
        <v>0.12</v>
      </c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</row>
    <row r="48" spans="1:118" s="32" customFormat="1" x14ac:dyDescent="0.35">
      <c r="A48" s="30" t="s">
        <v>18</v>
      </c>
      <c r="B48" s="30" t="s">
        <v>388</v>
      </c>
      <c r="C48" s="30" t="s">
        <v>389</v>
      </c>
      <c r="D48" s="30" t="s">
        <v>11</v>
      </c>
      <c r="E48" s="30" t="s">
        <v>497</v>
      </c>
      <c r="F48" s="30" t="s">
        <v>502</v>
      </c>
      <c r="G48" s="30" t="s">
        <v>499</v>
      </c>
      <c r="H48" s="31">
        <v>32683</v>
      </c>
      <c r="I48" s="35">
        <v>36000</v>
      </c>
      <c r="J48" s="36">
        <f t="shared" si="12"/>
        <v>0.10149007129088516</v>
      </c>
      <c r="K48" s="13"/>
      <c r="L48" s="13"/>
      <c r="M48" s="13"/>
      <c r="N48" s="13"/>
      <c r="O48" s="46">
        <v>0.1</v>
      </c>
      <c r="P48" s="46">
        <v>0.12</v>
      </c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</row>
    <row r="49" spans="1:118" s="32" customFormat="1" x14ac:dyDescent="0.35">
      <c r="A49" s="30" t="s">
        <v>16</v>
      </c>
      <c r="B49" s="30" t="s">
        <v>388</v>
      </c>
      <c r="C49" s="30" t="s">
        <v>389</v>
      </c>
      <c r="D49" s="30" t="s">
        <v>11</v>
      </c>
      <c r="E49" s="30" t="s">
        <v>503</v>
      </c>
      <c r="F49" s="30" t="s">
        <v>504</v>
      </c>
      <c r="G49" s="30" t="s">
        <v>505</v>
      </c>
      <c r="H49" s="31">
        <v>138165</v>
      </c>
      <c r="I49" s="35">
        <v>152000</v>
      </c>
      <c r="J49" s="36">
        <f t="shared" si="12"/>
        <v>0.10013389787572829</v>
      </c>
      <c r="K49" s="13"/>
      <c r="L49" s="13"/>
      <c r="M49" s="13"/>
      <c r="N49" s="13"/>
      <c r="O49" s="46">
        <v>0.1</v>
      </c>
      <c r="P49" s="46">
        <v>0.12</v>
      </c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</row>
    <row r="50" spans="1:118" s="32" customFormat="1" x14ac:dyDescent="0.35">
      <c r="A50" s="30" t="s">
        <v>18</v>
      </c>
      <c r="B50" s="30" t="s">
        <v>388</v>
      </c>
      <c r="C50" s="30" t="s">
        <v>389</v>
      </c>
      <c r="D50" s="30" t="s">
        <v>11</v>
      </c>
      <c r="E50" s="30" t="s">
        <v>503</v>
      </c>
      <c r="F50" s="30" t="s">
        <v>506</v>
      </c>
      <c r="G50" s="30" t="s">
        <v>505</v>
      </c>
      <c r="H50" s="31">
        <v>138165</v>
      </c>
      <c r="I50" s="35">
        <v>152000</v>
      </c>
      <c r="J50" s="36">
        <f t="shared" si="12"/>
        <v>0.10013389787572829</v>
      </c>
      <c r="K50" s="13"/>
      <c r="L50" s="13"/>
      <c r="M50" s="13"/>
      <c r="N50" s="13"/>
      <c r="O50" s="46">
        <v>0.1</v>
      </c>
      <c r="P50" s="46">
        <v>0.12</v>
      </c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</row>
    <row r="51" spans="1:118" s="32" customFormat="1" x14ac:dyDescent="0.35">
      <c r="A51" s="30" t="s">
        <v>14</v>
      </c>
      <c r="B51" s="30" t="s">
        <v>388</v>
      </c>
      <c r="C51" s="30" t="s">
        <v>389</v>
      </c>
      <c r="D51" s="30" t="s">
        <v>11</v>
      </c>
      <c r="E51" s="30" t="s">
        <v>503</v>
      </c>
      <c r="F51" s="30" t="s">
        <v>507</v>
      </c>
      <c r="G51" s="30" t="s">
        <v>505</v>
      </c>
      <c r="H51" s="31">
        <v>142059</v>
      </c>
      <c r="I51" s="35">
        <v>156300</v>
      </c>
      <c r="J51" s="36">
        <f t="shared" si="12"/>
        <v>0.10024708043840939</v>
      </c>
      <c r="K51" s="13"/>
      <c r="L51" s="13"/>
      <c r="M51" s="13"/>
      <c r="N51" s="13"/>
      <c r="O51" s="46">
        <v>0.1</v>
      </c>
      <c r="P51" s="46">
        <v>0.12</v>
      </c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</row>
    <row r="52" spans="1:118" s="32" customFormat="1" x14ac:dyDescent="0.35">
      <c r="A52" s="30" t="s">
        <v>16</v>
      </c>
      <c r="B52" s="30" t="s">
        <v>388</v>
      </c>
      <c r="C52" s="30" t="s">
        <v>389</v>
      </c>
      <c r="D52" s="30" t="s">
        <v>11</v>
      </c>
      <c r="E52" s="30" t="s">
        <v>508</v>
      </c>
      <c r="F52" s="30" t="s">
        <v>509</v>
      </c>
      <c r="G52" s="30" t="s">
        <v>510</v>
      </c>
      <c r="H52" s="31">
        <v>150377</v>
      </c>
      <c r="I52" s="35">
        <v>165450</v>
      </c>
      <c r="J52" s="36">
        <f t="shared" si="12"/>
        <v>0.10023474334505941</v>
      </c>
      <c r="K52" s="13"/>
      <c r="L52" s="13"/>
      <c r="M52" s="13"/>
      <c r="N52" s="13"/>
      <c r="O52" s="46">
        <v>0.1</v>
      </c>
      <c r="P52" s="46">
        <v>0.12</v>
      </c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</row>
    <row r="53" spans="1:118" s="32" customFormat="1" x14ac:dyDescent="0.35">
      <c r="A53" s="30" t="s">
        <v>18</v>
      </c>
      <c r="B53" s="30" t="s">
        <v>388</v>
      </c>
      <c r="C53" s="30" t="s">
        <v>389</v>
      </c>
      <c r="D53" s="30" t="s">
        <v>11</v>
      </c>
      <c r="E53" s="30" t="s">
        <v>508</v>
      </c>
      <c r="F53" s="30" t="s">
        <v>511</v>
      </c>
      <c r="G53" s="30" t="s">
        <v>510</v>
      </c>
      <c r="H53" s="31">
        <v>150377</v>
      </c>
      <c r="I53" s="35">
        <v>165450</v>
      </c>
      <c r="J53" s="36">
        <f t="shared" si="12"/>
        <v>0.10023474334505941</v>
      </c>
      <c r="K53" s="13"/>
      <c r="L53" s="13"/>
      <c r="M53" s="13"/>
      <c r="N53" s="13"/>
      <c r="O53" s="46">
        <v>0.1</v>
      </c>
      <c r="P53" s="46">
        <v>0.12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</row>
    <row r="54" spans="1:118" s="32" customFormat="1" x14ac:dyDescent="0.35">
      <c r="A54" s="30" t="s">
        <v>14</v>
      </c>
      <c r="B54" s="30" t="s">
        <v>388</v>
      </c>
      <c r="C54" s="30" t="s">
        <v>389</v>
      </c>
      <c r="D54" s="30" t="s">
        <v>11</v>
      </c>
      <c r="E54" s="30" t="s">
        <v>508</v>
      </c>
      <c r="F54" s="30" t="s">
        <v>512</v>
      </c>
      <c r="G54" s="30" t="s">
        <v>510</v>
      </c>
      <c r="H54" s="31">
        <v>150655</v>
      </c>
      <c r="I54" s="35">
        <v>165700</v>
      </c>
      <c r="J54" s="36">
        <f t="shared" si="12"/>
        <v>9.9863927516511228E-2</v>
      </c>
      <c r="K54" s="13"/>
      <c r="L54" s="13"/>
      <c r="M54" s="13"/>
      <c r="N54" s="13"/>
      <c r="O54" s="46">
        <v>0.1</v>
      </c>
      <c r="P54" s="46">
        <v>0.12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</row>
    <row r="55" spans="1:118" s="32" customFormat="1" x14ac:dyDescent="0.35">
      <c r="A55" s="30" t="s">
        <v>17</v>
      </c>
      <c r="B55" s="30" t="s">
        <v>388</v>
      </c>
      <c r="C55" s="30" t="s">
        <v>389</v>
      </c>
      <c r="D55" s="30" t="s">
        <v>11</v>
      </c>
      <c r="E55" s="30" t="s">
        <v>513</v>
      </c>
      <c r="F55" s="30" t="s">
        <v>514</v>
      </c>
      <c r="G55" s="30" t="s">
        <v>515</v>
      </c>
      <c r="H55" s="31">
        <v>155651</v>
      </c>
      <c r="I55" s="35">
        <v>171000</v>
      </c>
      <c r="J55" s="36">
        <f t="shared" si="12"/>
        <v>9.8611637573802938E-2</v>
      </c>
      <c r="K55" s="13"/>
      <c r="L55" s="13"/>
      <c r="M55" s="13"/>
      <c r="N55" s="13"/>
      <c r="O55" s="46">
        <v>0.1</v>
      </c>
      <c r="P55" s="46">
        <v>0.12</v>
      </c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</row>
    <row r="56" spans="1:118" s="32" customFormat="1" x14ac:dyDescent="0.35">
      <c r="A56" s="30" t="s">
        <v>16</v>
      </c>
      <c r="B56" s="30" t="s">
        <v>388</v>
      </c>
      <c r="C56" s="30" t="s">
        <v>389</v>
      </c>
      <c r="D56" s="30" t="s">
        <v>11</v>
      </c>
      <c r="E56" s="30" t="s">
        <v>516</v>
      </c>
      <c r="F56" s="30" t="s">
        <v>517</v>
      </c>
      <c r="G56" s="30" t="s">
        <v>518</v>
      </c>
      <c r="H56" s="31">
        <v>225566</v>
      </c>
      <c r="I56" s="35">
        <v>248000</v>
      </c>
      <c r="J56" s="36">
        <f t="shared" si="12"/>
        <v>9.94564783699671E-2</v>
      </c>
      <c r="K56" s="13"/>
      <c r="L56" s="13"/>
      <c r="M56" s="13"/>
      <c r="N56" s="13"/>
      <c r="O56" s="46">
        <v>0.1</v>
      </c>
      <c r="P56" s="46">
        <v>0.12</v>
      </c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</row>
    <row r="57" spans="1:118" s="32" customFormat="1" x14ac:dyDescent="0.35">
      <c r="A57" s="30" t="s">
        <v>18</v>
      </c>
      <c r="B57" s="30" t="s">
        <v>388</v>
      </c>
      <c r="C57" s="30" t="s">
        <v>389</v>
      </c>
      <c r="D57" s="30" t="s">
        <v>11</v>
      </c>
      <c r="E57" s="30" t="s">
        <v>516</v>
      </c>
      <c r="F57" s="30" t="s">
        <v>519</v>
      </c>
      <c r="G57" s="30" t="s">
        <v>518</v>
      </c>
      <c r="H57" s="31">
        <v>225566</v>
      </c>
      <c r="I57" s="35">
        <v>248000</v>
      </c>
      <c r="J57" s="36">
        <f t="shared" si="12"/>
        <v>9.94564783699671E-2</v>
      </c>
      <c r="K57" s="13"/>
      <c r="L57" s="13"/>
      <c r="M57" s="13"/>
      <c r="N57" s="13"/>
      <c r="O57" s="46">
        <v>0.1</v>
      </c>
      <c r="P57" s="46">
        <v>0.12</v>
      </c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</row>
    <row r="58" spans="1:118" s="32" customFormat="1" x14ac:dyDescent="0.35">
      <c r="A58" s="30" t="s">
        <v>14</v>
      </c>
      <c r="B58" s="30" t="s">
        <v>388</v>
      </c>
      <c r="C58" s="30" t="s">
        <v>389</v>
      </c>
      <c r="D58" s="30" t="s">
        <v>11</v>
      </c>
      <c r="E58" s="30" t="s">
        <v>516</v>
      </c>
      <c r="F58" s="30" t="s">
        <v>520</v>
      </c>
      <c r="G58" s="30" t="s">
        <v>518</v>
      </c>
      <c r="H58" s="31">
        <v>227169</v>
      </c>
      <c r="I58" s="35">
        <v>250000</v>
      </c>
      <c r="J58" s="36">
        <f t="shared" si="12"/>
        <v>0.10050226923567916</v>
      </c>
      <c r="K58" s="13"/>
      <c r="L58" s="13"/>
      <c r="M58" s="13"/>
      <c r="N58" s="13"/>
      <c r="O58" s="46">
        <v>0.1</v>
      </c>
      <c r="P58" s="46">
        <v>0.12</v>
      </c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</row>
    <row r="59" spans="1:118" s="32" customFormat="1" x14ac:dyDescent="0.35">
      <c r="A59" s="30" t="s">
        <v>17</v>
      </c>
      <c r="B59" s="30" t="s">
        <v>388</v>
      </c>
      <c r="C59" s="30" t="s">
        <v>389</v>
      </c>
      <c r="D59" s="30" t="s">
        <v>11</v>
      </c>
      <c r="E59" s="30" t="s">
        <v>521</v>
      </c>
      <c r="F59" s="30" t="s">
        <v>522</v>
      </c>
      <c r="G59" s="30" t="s">
        <v>523</v>
      </c>
      <c r="H59" s="31">
        <v>259419</v>
      </c>
      <c r="I59" s="35">
        <v>285500</v>
      </c>
      <c r="J59" s="36">
        <f t="shared" si="12"/>
        <v>0.10053619819673963</v>
      </c>
      <c r="K59" s="13"/>
      <c r="L59" s="13"/>
      <c r="M59" s="13"/>
      <c r="N59" s="13"/>
      <c r="O59" s="46">
        <v>0.1</v>
      </c>
      <c r="P59" s="46">
        <v>0.12</v>
      </c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</row>
    <row r="60" spans="1:118" s="32" customFormat="1" x14ac:dyDescent="0.35">
      <c r="A60" s="30" t="s">
        <v>14</v>
      </c>
      <c r="B60" s="30" t="s">
        <v>388</v>
      </c>
      <c r="C60" s="30" t="s">
        <v>389</v>
      </c>
      <c r="D60" s="30" t="s">
        <v>11</v>
      </c>
      <c r="E60" s="30" t="s">
        <v>524</v>
      </c>
      <c r="F60" s="30" t="s">
        <v>525</v>
      </c>
      <c r="G60" s="30" t="s">
        <v>526</v>
      </c>
      <c r="H60" s="31">
        <v>304310</v>
      </c>
      <c r="I60" s="35">
        <v>335000</v>
      </c>
      <c r="J60" s="36">
        <f t="shared" si="12"/>
        <v>0.10085110578028983</v>
      </c>
      <c r="K60" s="13"/>
      <c r="L60" s="13"/>
      <c r="M60" s="13"/>
      <c r="N60" s="13"/>
      <c r="O60" s="46">
        <v>0.1</v>
      </c>
      <c r="P60" s="46">
        <v>0.12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</row>
    <row r="61" spans="1:118" s="32" customFormat="1" x14ac:dyDescent="0.35">
      <c r="A61" s="30" t="s">
        <v>16</v>
      </c>
      <c r="B61" s="30" t="s">
        <v>388</v>
      </c>
      <c r="C61" s="30" t="s">
        <v>389</v>
      </c>
      <c r="D61" s="30" t="s">
        <v>11</v>
      </c>
      <c r="E61" s="30" t="s">
        <v>524</v>
      </c>
      <c r="F61" s="30" t="s">
        <v>527</v>
      </c>
      <c r="G61" s="30" t="s">
        <v>526</v>
      </c>
      <c r="H61" s="31">
        <v>306126</v>
      </c>
      <c r="I61" s="35">
        <v>337000</v>
      </c>
      <c r="J61" s="36">
        <f t="shared" si="12"/>
        <v>0.10085389676146424</v>
      </c>
      <c r="K61" s="13"/>
      <c r="L61" s="13"/>
      <c r="M61" s="13"/>
      <c r="N61" s="13"/>
      <c r="O61" s="46">
        <v>0.1</v>
      </c>
      <c r="P61" s="46">
        <v>0.12</v>
      </c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</row>
    <row r="62" spans="1:118" s="32" customFormat="1" x14ac:dyDescent="0.35">
      <c r="A62" s="30" t="s">
        <v>18</v>
      </c>
      <c r="B62" s="30" t="s">
        <v>388</v>
      </c>
      <c r="C62" s="30" t="s">
        <v>389</v>
      </c>
      <c r="D62" s="30" t="s">
        <v>11</v>
      </c>
      <c r="E62" s="30" t="s">
        <v>524</v>
      </c>
      <c r="F62" s="30" t="s">
        <v>528</v>
      </c>
      <c r="G62" s="30" t="s">
        <v>526</v>
      </c>
      <c r="H62" s="31">
        <v>306126</v>
      </c>
      <c r="I62" s="35">
        <v>337000</v>
      </c>
      <c r="J62" s="36">
        <f t="shared" si="12"/>
        <v>0.10085389676146424</v>
      </c>
      <c r="K62" s="13"/>
      <c r="L62" s="13"/>
      <c r="M62" s="13"/>
      <c r="N62" s="13"/>
      <c r="O62" s="46">
        <v>0.1</v>
      </c>
      <c r="P62" s="46">
        <v>0.12</v>
      </c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</row>
    <row r="63" spans="1:118" s="32" customFormat="1" x14ac:dyDescent="0.35">
      <c r="A63" s="30" t="s">
        <v>14</v>
      </c>
      <c r="B63" s="30" t="s">
        <v>388</v>
      </c>
      <c r="C63" s="30" t="s">
        <v>389</v>
      </c>
      <c r="D63" s="30" t="s">
        <v>11</v>
      </c>
      <c r="E63" s="30" t="s">
        <v>529</v>
      </c>
      <c r="F63" s="30" t="s">
        <v>530</v>
      </c>
      <c r="G63" s="30" t="s">
        <v>531</v>
      </c>
      <c r="H63" s="31">
        <v>454965</v>
      </c>
      <c r="I63" s="35">
        <v>500500</v>
      </c>
      <c r="J63" s="36">
        <f t="shared" si="12"/>
        <v>0.10008462189399185</v>
      </c>
      <c r="K63" s="13"/>
      <c r="L63" s="13"/>
      <c r="M63" s="13"/>
      <c r="N63" s="13"/>
      <c r="O63" s="46">
        <v>0.1</v>
      </c>
      <c r="P63" s="46">
        <v>0.12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</row>
    <row r="64" spans="1:118" s="32" customFormat="1" x14ac:dyDescent="0.35">
      <c r="A64" s="30" t="s">
        <v>16</v>
      </c>
      <c r="B64" s="30" t="s">
        <v>388</v>
      </c>
      <c r="C64" s="30" t="s">
        <v>389</v>
      </c>
      <c r="D64" s="30" t="s">
        <v>11</v>
      </c>
      <c r="E64" s="30" t="s">
        <v>529</v>
      </c>
      <c r="F64" s="30" t="s">
        <v>532</v>
      </c>
      <c r="G64" s="30" t="s">
        <v>531</v>
      </c>
      <c r="H64" s="31">
        <v>456503</v>
      </c>
      <c r="I64" s="35">
        <v>502000</v>
      </c>
      <c r="J64" s="36">
        <f t="shared" si="12"/>
        <v>9.9664186215643713E-2</v>
      </c>
      <c r="K64" s="13"/>
      <c r="L64" s="13"/>
      <c r="M64" s="13"/>
      <c r="N64" s="13"/>
      <c r="O64" s="46">
        <v>0.1</v>
      </c>
      <c r="P64" s="46">
        <v>0.12</v>
      </c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</row>
    <row r="65" spans="1:118" s="32" customFormat="1" x14ac:dyDescent="0.35">
      <c r="A65" s="30" t="s">
        <v>18</v>
      </c>
      <c r="B65" s="30" t="s">
        <v>388</v>
      </c>
      <c r="C65" s="30" t="s">
        <v>389</v>
      </c>
      <c r="D65" s="30" t="s">
        <v>11</v>
      </c>
      <c r="E65" s="30" t="s">
        <v>529</v>
      </c>
      <c r="F65" s="30" t="s">
        <v>533</v>
      </c>
      <c r="G65" s="30" t="s">
        <v>531</v>
      </c>
      <c r="H65" s="31">
        <v>456503</v>
      </c>
      <c r="I65" s="35">
        <v>502000</v>
      </c>
      <c r="J65" s="36">
        <f t="shared" si="12"/>
        <v>9.9664186215643713E-2</v>
      </c>
      <c r="K65" s="13"/>
      <c r="L65" s="13"/>
      <c r="M65" s="13"/>
      <c r="N65" s="13"/>
      <c r="O65" s="46">
        <v>0.1</v>
      </c>
      <c r="P65" s="46">
        <v>0.12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</row>
    <row r="66" spans="1:118" s="32" customFormat="1" x14ac:dyDescent="0.35">
      <c r="A66" s="30" t="s">
        <v>17</v>
      </c>
      <c r="B66" s="30" t="s">
        <v>388</v>
      </c>
      <c r="C66" s="30" t="s">
        <v>389</v>
      </c>
      <c r="D66" s="30" t="s">
        <v>11</v>
      </c>
      <c r="E66" s="30" t="s">
        <v>534</v>
      </c>
      <c r="F66" s="30" t="s">
        <v>535</v>
      </c>
      <c r="G66" s="30" t="s">
        <v>536</v>
      </c>
      <c r="H66" s="31">
        <v>518838</v>
      </c>
      <c r="I66" s="35">
        <v>570000</v>
      </c>
      <c r="J66" s="36">
        <f t="shared" si="12"/>
        <v>9.8608814311981777E-2</v>
      </c>
      <c r="K66" s="13"/>
      <c r="L66" s="13"/>
      <c r="M66" s="13"/>
      <c r="N66" s="13"/>
      <c r="O66" s="46">
        <v>0.1</v>
      </c>
      <c r="P66" s="46">
        <v>0.12</v>
      </c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</row>
    <row r="67" spans="1:118" s="32" customFormat="1" x14ac:dyDescent="0.35">
      <c r="A67" s="30" t="s">
        <v>16</v>
      </c>
      <c r="B67" s="30" t="s">
        <v>388</v>
      </c>
      <c r="C67" s="30" t="s">
        <v>389</v>
      </c>
      <c r="D67" s="30" t="s">
        <v>11</v>
      </c>
      <c r="E67" s="30" t="s">
        <v>537</v>
      </c>
      <c r="F67" s="30" t="s">
        <v>538</v>
      </c>
      <c r="G67" s="30" t="s">
        <v>539</v>
      </c>
      <c r="H67" s="31">
        <v>733985</v>
      </c>
      <c r="I67" s="35">
        <v>807500</v>
      </c>
      <c r="J67" s="36">
        <f t="shared" si="12"/>
        <v>0.1001587225896987</v>
      </c>
      <c r="K67" s="13"/>
      <c r="L67" s="13"/>
      <c r="M67" s="13"/>
      <c r="N67" s="13"/>
      <c r="O67" s="46">
        <v>0.1</v>
      </c>
      <c r="P67" s="46">
        <v>0.12</v>
      </c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</row>
    <row r="68" spans="1:118" s="32" customFormat="1" x14ac:dyDescent="0.35">
      <c r="A68" s="30" t="s">
        <v>18</v>
      </c>
      <c r="B68" s="30" t="s">
        <v>388</v>
      </c>
      <c r="C68" s="30" t="s">
        <v>389</v>
      </c>
      <c r="D68" s="30" t="s">
        <v>11</v>
      </c>
      <c r="E68" s="30" t="s">
        <v>537</v>
      </c>
      <c r="F68" s="30" t="s">
        <v>540</v>
      </c>
      <c r="G68" s="30" t="s">
        <v>539</v>
      </c>
      <c r="H68" s="31">
        <v>733985</v>
      </c>
      <c r="I68" s="35">
        <v>807500</v>
      </c>
      <c r="J68" s="36">
        <f t="shared" si="12"/>
        <v>0.1001587225896987</v>
      </c>
      <c r="K68" s="13"/>
      <c r="L68" s="13"/>
      <c r="M68" s="13"/>
      <c r="N68" s="13"/>
      <c r="O68" s="46">
        <v>0.1</v>
      </c>
      <c r="P68" s="46">
        <v>0.12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</row>
    <row r="69" spans="1:118" s="32" customFormat="1" x14ac:dyDescent="0.35">
      <c r="A69" s="30" t="s">
        <v>14</v>
      </c>
      <c r="B69" s="30" t="s">
        <v>388</v>
      </c>
      <c r="C69" s="30" t="s">
        <v>389</v>
      </c>
      <c r="D69" s="30" t="s">
        <v>11</v>
      </c>
      <c r="E69" s="30" t="s">
        <v>537</v>
      </c>
      <c r="F69" s="30" t="s">
        <v>541</v>
      </c>
      <c r="G69" s="30" t="s">
        <v>539</v>
      </c>
      <c r="H69" s="31">
        <v>734606</v>
      </c>
      <c r="I69" s="35">
        <v>807500</v>
      </c>
      <c r="J69" s="36">
        <f t="shared" si="12"/>
        <v>9.9228702188656231E-2</v>
      </c>
      <c r="K69" s="13"/>
      <c r="L69" s="13"/>
      <c r="M69" s="13"/>
      <c r="N69" s="13"/>
      <c r="O69" s="46">
        <v>0.1</v>
      </c>
      <c r="P69" s="46">
        <v>0.12</v>
      </c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</row>
    <row r="70" spans="1:118" s="32" customFormat="1" x14ac:dyDescent="0.35">
      <c r="A70" s="30" t="s">
        <v>16</v>
      </c>
      <c r="B70" s="30" t="s">
        <v>388</v>
      </c>
      <c r="C70" s="30" t="s">
        <v>389</v>
      </c>
      <c r="D70" s="30" t="s">
        <v>11</v>
      </c>
      <c r="E70" s="30" t="s">
        <v>542</v>
      </c>
      <c r="F70" s="30" t="s">
        <v>543</v>
      </c>
      <c r="G70" s="30" t="s">
        <v>544</v>
      </c>
      <c r="H70" s="31">
        <v>1485872</v>
      </c>
      <c r="I70" s="35">
        <v>1635000</v>
      </c>
      <c r="J70" s="36">
        <f t="shared" si="12"/>
        <v>0.10036396136410135</v>
      </c>
      <c r="K70" s="13"/>
      <c r="L70" s="13"/>
      <c r="M70" s="13"/>
      <c r="N70" s="13"/>
      <c r="O70" s="46">
        <v>0.1</v>
      </c>
      <c r="P70" s="46">
        <v>0.12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</row>
    <row r="71" spans="1:118" s="32" customFormat="1" x14ac:dyDescent="0.35">
      <c r="A71" s="30" t="s">
        <v>18</v>
      </c>
      <c r="B71" s="30" t="s">
        <v>388</v>
      </c>
      <c r="C71" s="30" t="s">
        <v>389</v>
      </c>
      <c r="D71" s="30" t="s">
        <v>11</v>
      </c>
      <c r="E71" s="30" t="s">
        <v>542</v>
      </c>
      <c r="F71" s="30" t="s">
        <v>545</v>
      </c>
      <c r="G71" s="30" t="s">
        <v>544</v>
      </c>
      <c r="H71" s="31">
        <v>1485872</v>
      </c>
      <c r="I71" s="35">
        <v>1635000</v>
      </c>
      <c r="J71" s="36">
        <f t="shared" si="12"/>
        <v>0.10036396136410135</v>
      </c>
      <c r="K71" s="13"/>
      <c r="L71" s="13"/>
      <c r="M71" s="13"/>
      <c r="N71" s="13"/>
      <c r="O71" s="46">
        <v>0.1</v>
      </c>
      <c r="P71" s="46">
        <v>0.12</v>
      </c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</row>
    <row r="72" spans="1:118" s="32" customFormat="1" x14ac:dyDescent="0.35">
      <c r="A72" s="30" t="s">
        <v>14</v>
      </c>
      <c r="B72" s="30" t="s">
        <v>388</v>
      </c>
      <c r="C72" s="30" t="s">
        <v>389</v>
      </c>
      <c r="D72" s="30" t="s">
        <v>11</v>
      </c>
      <c r="E72" s="30" t="s">
        <v>542</v>
      </c>
      <c r="F72" s="30" t="s">
        <v>546</v>
      </c>
      <c r="G72" s="30" t="s">
        <v>544</v>
      </c>
      <c r="H72" s="31">
        <v>1513267</v>
      </c>
      <c r="I72" s="35">
        <v>1665000</v>
      </c>
      <c r="J72" s="36">
        <f t="shared" si="12"/>
        <v>0.10026849194491125</v>
      </c>
      <c r="K72" s="13"/>
      <c r="L72" s="13"/>
      <c r="M72" s="13"/>
      <c r="N72" s="13"/>
      <c r="O72" s="46">
        <v>0.1</v>
      </c>
      <c r="P72" s="46">
        <v>0.12</v>
      </c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</row>
  </sheetData>
  <autoFilter ref="A1:K1" xr:uid="{AFB0F3AD-FD93-489A-B831-7ACDE7D89C58}">
    <sortState xmlns:xlrd2="http://schemas.microsoft.com/office/spreadsheetml/2017/richdata2" ref="A2:K186">
      <sortCondition ref="G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A172-1962-46D9-BEE4-9BAF7B1FC946}">
  <dimension ref="A1:L23"/>
  <sheetViews>
    <sheetView workbookViewId="0">
      <selection activeCell="N7" sqref="N7"/>
    </sheetView>
  </sheetViews>
  <sheetFormatPr defaultRowHeight="14.5" x14ac:dyDescent="0.35"/>
  <cols>
    <col min="1" max="1" width="14.36328125" customWidth="1"/>
    <col min="5" max="5" width="16.26953125" customWidth="1"/>
    <col min="6" max="6" width="13.453125" customWidth="1"/>
    <col min="7" max="7" width="16.6328125" customWidth="1"/>
    <col min="8" max="8" width="9.6328125" hidden="1" customWidth="1"/>
    <col min="9" max="9" width="16" style="12" customWidth="1"/>
    <col min="10" max="10" width="0" hidden="1" customWidth="1"/>
    <col min="11" max="11" width="26" bestFit="1" customWidth="1"/>
    <col min="12" max="12" width="21.54296875" bestFit="1" customWidth="1"/>
  </cols>
  <sheetData>
    <row r="1" spans="1:12" s="10" customFormat="1" ht="32" customHeight="1" x14ac:dyDescent="0.3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384</v>
      </c>
      <c r="I1" s="24" t="s">
        <v>385</v>
      </c>
      <c r="J1" s="25" t="s">
        <v>283</v>
      </c>
      <c r="K1" s="1" t="s">
        <v>280</v>
      </c>
      <c r="L1" s="1" t="s">
        <v>281</v>
      </c>
    </row>
    <row r="2" spans="1:12" s="10" customFormat="1" ht="29" x14ac:dyDescent="0.35">
      <c r="A2" s="21" t="s">
        <v>289</v>
      </c>
      <c r="B2" s="21" t="s">
        <v>316</v>
      </c>
      <c r="C2" s="21" t="s">
        <v>317</v>
      </c>
      <c r="D2" s="21" t="s">
        <v>11</v>
      </c>
      <c r="E2" s="21" t="s">
        <v>318</v>
      </c>
      <c r="F2" s="21" t="s">
        <v>319</v>
      </c>
      <c r="G2" s="21" t="s">
        <v>320</v>
      </c>
      <c r="H2" s="22">
        <v>217000</v>
      </c>
      <c r="I2" s="26">
        <v>208141</v>
      </c>
      <c r="J2" s="23">
        <v>4.2562493694178465E-2</v>
      </c>
      <c r="K2" s="17">
        <v>0.05</v>
      </c>
      <c r="L2" s="17">
        <v>7.0000000000000007E-2</v>
      </c>
    </row>
    <row r="3" spans="1:12" s="10" customFormat="1" ht="29" x14ac:dyDescent="0.35">
      <c r="A3" s="21" t="s">
        <v>289</v>
      </c>
      <c r="B3" s="21" t="s">
        <v>316</v>
      </c>
      <c r="C3" s="21" t="s">
        <v>317</v>
      </c>
      <c r="D3" s="21" t="s">
        <v>11</v>
      </c>
      <c r="E3" s="21" t="s">
        <v>321</v>
      </c>
      <c r="F3" s="21" t="s">
        <v>322</v>
      </c>
      <c r="G3" s="21" t="s">
        <v>323</v>
      </c>
      <c r="H3" s="22">
        <v>54000</v>
      </c>
      <c r="I3" s="26">
        <v>52035</v>
      </c>
      <c r="J3" s="23">
        <v>3.7763044104929373E-2</v>
      </c>
      <c r="K3" s="17">
        <v>0.05</v>
      </c>
      <c r="L3" s="17">
        <v>7.0000000000000007E-2</v>
      </c>
    </row>
    <row r="4" spans="1:12" s="10" customFormat="1" ht="29" x14ac:dyDescent="0.35">
      <c r="A4" s="21" t="s">
        <v>289</v>
      </c>
      <c r="B4" s="21" t="s">
        <v>316</v>
      </c>
      <c r="C4" s="21" t="s">
        <v>317</v>
      </c>
      <c r="D4" s="21" t="s">
        <v>11</v>
      </c>
      <c r="E4" s="21" t="s">
        <v>324</v>
      </c>
      <c r="F4" s="21" t="s">
        <v>325</v>
      </c>
      <c r="G4" s="21" t="s">
        <v>326</v>
      </c>
      <c r="H4" s="22">
        <v>108500</v>
      </c>
      <c r="I4" s="26">
        <v>104070</v>
      </c>
      <c r="J4" s="23">
        <v>4.2567502642452196E-2</v>
      </c>
      <c r="K4" s="17">
        <v>0.05</v>
      </c>
      <c r="L4" s="17">
        <v>7.0000000000000007E-2</v>
      </c>
    </row>
    <row r="5" spans="1:12" s="10" customFormat="1" ht="29" x14ac:dyDescent="0.35">
      <c r="A5" s="21" t="s">
        <v>289</v>
      </c>
      <c r="B5" s="21" t="s">
        <v>316</v>
      </c>
      <c r="C5" s="21" t="s">
        <v>317</v>
      </c>
      <c r="D5" s="21" t="s">
        <v>11</v>
      </c>
      <c r="E5" s="21" t="s">
        <v>327</v>
      </c>
      <c r="F5" s="21" t="s">
        <v>328</v>
      </c>
      <c r="G5" s="21" t="s">
        <v>329</v>
      </c>
      <c r="H5" s="22">
        <v>162500</v>
      </c>
      <c r="I5" s="26">
        <v>156106</v>
      </c>
      <c r="J5" s="23">
        <v>4.0959348135241436E-2</v>
      </c>
      <c r="K5" s="17">
        <v>0.05</v>
      </c>
      <c r="L5" s="17">
        <v>7.0000000000000007E-2</v>
      </c>
    </row>
    <row r="6" spans="1:12" s="10" customFormat="1" ht="29" x14ac:dyDescent="0.35">
      <c r="A6" s="21" t="s">
        <v>289</v>
      </c>
      <c r="B6" s="21" t="s">
        <v>316</v>
      </c>
      <c r="C6" s="21" t="s">
        <v>317</v>
      </c>
      <c r="D6" s="21" t="s">
        <v>11</v>
      </c>
      <c r="E6" s="21" t="s">
        <v>330</v>
      </c>
      <c r="F6" s="21" t="s">
        <v>331</v>
      </c>
      <c r="G6" s="21" t="s">
        <v>332</v>
      </c>
      <c r="H6" s="22">
        <v>270500</v>
      </c>
      <c r="I6" s="26">
        <v>260176</v>
      </c>
      <c r="J6" s="23">
        <v>3.9680831437180986E-2</v>
      </c>
      <c r="K6" s="17">
        <v>0.05</v>
      </c>
      <c r="L6" s="17">
        <v>7.0000000000000007E-2</v>
      </c>
    </row>
    <row r="7" spans="1:12" s="10" customFormat="1" ht="29" x14ac:dyDescent="0.35">
      <c r="A7" s="21" t="s">
        <v>289</v>
      </c>
      <c r="B7" s="21" t="s">
        <v>316</v>
      </c>
      <c r="C7" s="21" t="s">
        <v>317</v>
      </c>
      <c r="D7" s="21" t="s">
        <v>11</v>
      </c>
      <c r="E7" s="21" t="s">
        <v>333</v>
      </c>
      <c r="F7" s="21" t="s">
        <v>334</v>
      </c>
      <c r="G7" s="21" t="s">
        <v>335</v>
      </c>
      <c r="H7" s="22">
        <v>324600</v>
      </c>
      <c r="I7" s="26">
        <v>312211</v>
      </c>
      <c r="J7" s="23">
        <v>3.968149744884069E-2</v>
      </c>
      <c r="K7" s="17">
        <v>0.05</v>
      </c>
      <c r="L7" s="17">
        <v>7.0000000000000007E-2</v>
      </c>
    </row>
    <row r="8" spans="1:12" s="10" customFormat="1" ht="29" x14ac:dyDescent="0.35">
      <c r="A8" s="21" t="s">
        <v>289</v>
      </c>
      <c r="B8" s="21" t="s">
        <v>316</v>
      </c>
      <c r="C8" s="21" t="s">
        <v>317</v>
      </c>
      <c r="D8" s="21" t="s">
        <v>11</v>
      </c>
      <c r="E8" s="21" t="s">
        <v>336</v>
      </c>
      <c r="F8" s="21" t="s">
        <v>337</v>
      </c>
      <c r="G8" s="21" t="s">
        <v>338</v>
      </c>
      <c r="H8" s="22">
        <v>376000</v>
      </c>
      <c r="I8" s="26">
        <v>361459</v>
      </c>
      <c r="J8" s="23">
        <v>4.0228628973133881E-2</v>
      </c>
      <c r="K8" s="17">
        <v>0.05</v>
      </c>
      <c r="L8" s="17">
        <v>7.0000000000000007E-2</v>
      </c>
    </row>
    <row r="9" spans="1:12" s="10" customFormat="1" ht="29" x14ac:dyDescent="0.35">
      <c r="A9" s="21" t="s">
        <v>289</v>
      </c>
      <c r="B9" s="21" t="s">
        <v>316</v>
      </c>
      <c r="C9" s="21" t="s">
        <v>317</v>
      </c>
      <c r="D9" s="21" t="s">
        <v>11</v>
      </c>
      <c r="E9" s="21" t="s">
        <v>339</v>
      </c>
      <c r="F9" s="21" t="s">
        <v>340</v>
      </c>
      <c r="G9" s="21" t="s">
        <v>341</v>
      </c>
      <c r="H9" s="22">
        <v>430000</v>
      </c>
      <c r="I9" s="26">
        <v>413494</v>
      </c>
      <c r="J9" s="23">
        <v>3.9918354317112222E-2</v>
      </c>
      <c r="K9" s="17">
        <v>0.05</v>
      </c>
      <c r="L9" s="17">
        <v>7.0000000000000007E-2</v>
      </c>
    </row>
    <row r="10" spans="1:12" s="10" customFormat="1" ht="29" x14ac:dyDescent="0.35">
      <c r="A10" s="21" t="s">
        <v>289</v>
      </c>
      <c r="B10" s="21" t="s">
        <v>316</v>
      </c>
      <c r="C10" s="21" t="s">
        <v>317</v>
      </c>
      <c r="D10" s="21" t="s">
        <v>11</v>
      </c>
      <c r="E10" s="21" t="s">
        <v>342</v>
      </c>
      <c r="F10" s="21" t="s">
        <v>343</v>
      </c>
      <c r="G10" s="21" t="s">
        <v>344</v>
      </c>
      <c r="H10" s="22">
        <v>484000</v>
      </c>
      <c r="I10" s="26">
        <v>465529</v>
      </c>
      <c r="J10" s="23">
        <v>3.9677442221644627E-2</v>
      </c>
      <c r="K10" s="17">
        <v>0.05</v>
      </c>
      <c r="L10" s="17">
        <v>7.0000000000000007E-2</v>
      </c>
    </row>
    <row r="11" spans="1:12" s="10" customFormat="1" ht="29" x14ac:dyDescent="0.35">
      <c r="A11" s="21" t="s">
        <v>289</v>
      </c>
      <c r="B11" s="21" t="s">
        <v>316</v>
      </c>
      <c r="C11" s="21" t="s">
        <v>317</v>
      </c>
      <c r="D11" s="21" t="s">
        <v>11</v>
      </c>
      <c r="E11" s="21" t="s">
        <v>345</v>
      </c>
      <c r="F11" s="21" t="s">
        <v>346</v>
      </c>
      <c r="G11" s="21" t="s">
        <v>347</v>
      </c>
      <c r="H11" s="22">
        <v>537500</v>
      </c>
      <c r="I11" s="26">
        <v>519423</v>
      </c>
      <c r="J11" s="23">
        <v>3.4802078460137498E-2</v>
      </c>
      <c r="K11" s="17">
        <v>0.05</v>
      </c>
      <c r="L11" s="17">
        <v>7.0000000000000007E-2</v>
      </c>
    </row>
    <row r="12" spans="1:12" s="10" customFormat="1" ht="29" x14ac:dyDescent="0.35">
      <c r="A12" s="21" t="s">
        <v>289</v>
      </c>
      <c r="B12" s="21" t="s">
        <v>316</v>
      </c>
      <c r="C12" s="21" t="s">
        <v>317</v>
      </c>
      <c r="D12" s="21" t="s">
        <v>11</v>
      </c>
      <c r="E12" s="21" t="s">
        <v>348</v>
      </c>
      <c r="F12" s="21" t="s">
        <v>349</v>
      </c>
      <c r="G12" s="21" t="s">
        <v>350</v>
      </c>
      <c r="H12" s="22">
        <v>592500</v>
      </c>
      <c r="I12" s="26">
        <v>569600</v>
      </c>
      <c r="J12" s="23">
        <v>4.0203651685393256E-2</v>
      </c>
      <c r="K12" s="17">
        <v>0.05</v>
      </c>
      <c r="L12" s="17">
        <v>7.0000000000000007E-2</v>
      </c>
    </row>
    <row r="13" spans="1:12" s="10" customFormat="1" ht="29" x14ac:dyDescent="0.35">
      <c r="A13" s="21" t="s">
        <v>289</v>
      </c>
      <c r="B13" s="21" t="s">
        <v>316</v>
      </c>
      <c r="C13" s="21" t="s">
        <v>317</v>
      </c>
      <c r="D13" s="21" t="s">
        <v>11</v>
      </c>
      <c r="E13" s="21" t="s">
        <v>351</v>
      </c>
      <c r="F13" s="21" t="s">
        <v>352</v>
      </c>
      <c r="G13" s="21" t="s">
        <v>353</v>
      </c>
      <c r="H13" s="22">
        <v>594000</v>
      </c>
      <c r="I13" s="26">
        <v>571458</v>
      </c>
      <c r="J13" s="23">
        <v>3.9446468506871897E-2</v>
      </c>
      <c r="K13" s="17">
        <v>0.05</v>
      </c>
      <c r="L13" s="17">
        <v>7.0000000000000007E-2</v>
      </c>
    </row>
    <row r="14" spans="1:12" s="10" customFormat="1" ht="29" x14ac:dyDescent="0.35">
      <c r="A14" s="21" t="s">
        <v>289</v>
      </c>
      <c r="B14" s="21" t="s">
        <v>316</v>
      </c>
      <c r="C14" s="21" t="s">
        <v>317</v>
      </c>
      <c r="D14" s="21" t="s">
        <v>11</v>
      </c>
      <c r="E14" s="21" t="s">
        <v>354</v>
      </c>
      <c r="F14" s="21" t="s">
        <v>355</v>
      </c>
      <c r="G14" s="21" t="s">
        <v>356</v>
      </c>
      <c r="H14" s="22">
        <v>648000</v>
      </c>
      <c r="I14" s="26">
        <v>623493</v>
      </c>
      <c r="J14" s="23">
        <v>3.9305974565873231E-2</v>
      </c>
      <c r="K14" s="17">
        <v>0.05</v>
      </c>
      <c r="L14" s="17">
        <v>7.0000000000000007E-2</v>
      </c>
    </row>
    <row r="15" spans="1:12" s="10" customFormat="1" ht="29" x14ac:dyDescent="0.35">
      <c r="A15" s="21" t="s">
        <v>289</v>
      </c>
      <c r="B15" s="21" t="s">
        <v>316</v>
      </c>
      <c r="C15" s="21" t="s">
        <v>317</v>
      </c>
      <c r="D15" s="21" t="s">
        <v>11</v>
      </c>
      <c r="E15" s="21" t="s">
        <v>357</v>
      </c>
      <c r="F15" s="21" t="s">
        <v>358</v>
      </c>
      <c r="G15" s="21" t="s">
        <v>359</v>
      </c>
      <c r="H15" s="22">
        <v>756500</v>
      </c>
      <c r="I15" s="26">
        <v>727564</v>
      </c>
      <c r="J15" s="23">
        <v>3.977107168578984E-2</v>
      </c>
      <c r="K15" s="17">
        <v>0.05</v>
      </c>
      <c r="L15" s="17">
        <v>7.0000000000000007E-2</v>
      </c>
    </row>
    <row r="16" spans="1:12" s="10" customFormat="1" ht="29" x14ac:dyDescent="0.35">
      <c r="A16" s="21" t="s">
        <v>289</v>
      </c>
      <c r="B16" s="21" t="s">
        <v>316</v>
      </c>
      <c r="C16" s="21" t="s">
        <v>317</v>
      </c>
      <c r="D16" s="21" t="s">
        <v>11</v>
      </c>
      <c r="E16" s="21" t="s">
        <v>360</v>
      </c>
      <c r="F16" s="21" t="s">
        <v>361</v>
      </c>
      <c r="G16" s="21" t="s">
        <v>362</v>
      </c>
      <c r="H16" s="22">
        <v>916000</v>
      </c>
      <c r="I16" s="26">
        <v>880882</v>
      </c>
      <c r="J16" s="23">
        <v>3.9866860714601958E-2</v>
      </c>
      <c r="K16" s="17">
        <v>0.05</v>
      </c>
      <c r="L16" s="17">
        <v>7.0000000000000007E-2</v>
      </c>
    </row>
    <row r="17" spans="1:12" s="10" customFormat="1" ht="29" x14ac:dyDescent="0.35">
      <c r="A17" s="21" t="s">
        <v>289</v>
      </c>
      <c r="B17" s="21" t="s">
        <v>316</v>
      </c>
      <c r="C17" s="21" t="s">
        <v>317</v>
      </c>
      <c r="D17" s="21" t="s">
        <v>11</v>
      </c>
      <c r="E17" s="21" t="s">
        <v>363</v>
      </c>
      <c r="F17" s="21" t="s">
        <v>364</v>
      </c>
      <c r="G17" s="21" t="s">
        <v>365</v>
      </c>
      <c r="H17" s="22">
        <v>1055000</v>
      </c>
      <c r="I17" s="26">
        <v>1021191</v>
      </c>
      <c r="J17" s="23">
        <v>3.3107420649026477E-2</v>
      </c>
      <c r="K17" s="17">
        <v>0.05</v>
      </c>
      <c r="L17" s="17">
        <v>7.0000000000000007E-2</v>
      </c>
    </row>
    <row r="18" spans="1:12" s="10" customFormat="1" ht="29" x14ac:dyDescent="0.35">
      <c r="A18" s="21" t="s">
        <v>289</v>
      </c>
      <c r="B18" s="21" t="s">
        <v>316</v>
      </c>
      <c r="C18" s="21" t="s">
        <v>317</v>
      </c>
      <c r="D18" s="21" t="s">
        <v>11</v>
      </c>
      <c r="E18" s="21" t="s">
        <v>366</v>
      </c>
      <c r="F18" s="21" t="s">
        <v>367</v>
      </c>
      <c r="G18" s="21" t="s">
        <v>368</v>
      </c>
      <c r="H18" s="22">
        <v>1116000</v>
      </c>
      <c r="I18" s="26">
        <v>1073226</v>
      </c>
      <c r="J18" s="23">
        <v>3.9855538348865946E-2</v>
      </c>
      <c r="K18" s="17">
        <v>0.05</v>
      </c>
      <c r="L18" s="17">
        <v>7.0000000000000007E-2</v>
      </c>
    </row>
    <row r="19" spans="1:12" s="10" customFormat="1" ht="29" x14ac:dyDescent="0.35">
      <c r="A19" s="21" t="s">
        <v>289</v>
      </c>
      <c r="B19" s="21" t="s">
        <v>316</v>
      </c>
      <c r="C19" s="21" t="s">
        <v>317</v>
      </c>
      <c r="D19" s="21" t="s">
        <v>11</v>
      </c>
      <c r="E19" s="21" t="s">
        <v>369</v>
      </c>
      <c r="F19" s="21" t="s">
        <v>370</v>
      </c>
      <c r="G19" s="21" t="s">
        <v>371</v>
      </c>
      <c r="H19" s="22">
        <v>1170000</v>
      </c>
      <c r="I19" s="26">
        <v>1125261</v>
      </c>
      <c r="J19" s="23">
        <v>3.975877596397636E-2</v>
      </c>
      <c r="K19" s="17">
        <v>0.05</v>
      </c>
      <c r="L19" s="17">
        <v>7.0000000000000007E-2</v>
      </c>
    </row>
    <row r="20" spans="1:12" s="10" customFormat="1" ht="29" x14ac:dyDescent="0.35">
      <c r="A20" s="21" t="s">
        <v>289</v>
      </c>
      <c r="B20" s="21" t="s">
        <v>316</v>
      </c>
      <c r="C20" s="21" t="s">
        <v>317</v>
      </c>
      <c r="D20" s="21" t="s">
        <v>11</v>
      </c>
      <c r="E20" s="21" t="s">
        <v>372</v>
      </c>
      <c r="F20" s="21" t="s">
        <v>373</v>
      </c>
      <c r="G20" s="21" t="s">
        <v>374</v>
      </c>
      <c r="H20" s="22">
        <v>1280000</v>
      </c>
      <c r="I20" s="26">
        <v>1229332</v>
      </c>
      <c r="J20" s="23">
        <v>4.1215879843687464E-2</v>
      </c>
      <c r="K20" s="17">
        <v>0.05</v>
      </c>
      <c r="L20" s="17">
        <v>7.0000000000000007E-2</v>
      </c>
    </row>
    <row r="21" spans="1:12" s="10" customFormat="1" ht="29" x14ac:dyDescent="0.35">
      <c r="A21" s="21" t="s">
        <v>289</v>
      </c>
      <c r="B21" s="21" t="s">
        <v>316</v>
      </c>
      <c r="C21" s="21" t="s">
        <v>317</v>
      </c>
      <c r="D21" s="21" t="s">
        <v>11</v>
      </c>
      <c r="E21" s="21" t="s">
        <v>375</v>
      </c>
      <c r="F21" s="21" t="s">
        <v>376</v>
      </c>
      <c r="G21" s="21" t="s">
        <v>377</v>
      </c>
      <c r="H21" s="22">
        <v>1437500</v>
      </c>
      <c r="I21" s="26">
        <v>1382650</v>
      </c>
      <c r="J21" s="23">
        <v>3.9670198531804868E-2</v>
      </c>
      <c r="K21" s="17">
        <v>0.05</v>
      </c>
      <c r="L21" s="17">
        <v>7.0000000000000007E-2</v>
      </c>
    </row>
    <row r="22" spans="1:12" s="10" customFormat="1" ht="29" x14ac:dyDescent="0.35">
      <c r="A22" s="21" t="s">
        <v>289</v>
      </c>
      <c r="B22" s="21" t="s">
        <v>316</v>
      </c>
      <c r="C22" s="21" t="s">
        <v>317</v>
      </c>
      <c r="D22" s="21" t="s">
        <v>11</v>
      </c>
      <c r="E22" s="21" t="s">
        <v>378</v>
      </c>
      <c r="F22" s="21" t="s">
        <v>379</v>
      </c>
      <c r="G22" s="21" t="s">
        <v>380</v>
      </c>
      <c r="H22" s="22">
        <v>1600000</v>
      </c>
      <c r="I22" s="26">
        <v>1540614</v>
      </c>
      <c r="J22" s="23">
        <v>3.8546968935761976E-2</v>
      </c>
      <c r="K22" s="17">
        <v>0.05</v>
      </c>
      <c r="L22" s="17">
        <v>7.0000000000000007E-2</v>
      </c>
    </row>
    <row r="23" spans="1:12" s="10" customFormat="1" ht="29" x14ac:dyDescent="0.35">
      <c r="A23" s="21" t="s">
        <v>289</v>
      </c>
      <c r="B23" s="21" t="s">
        <v>316</v>
      </c>
      <c r="C23" s="21" t="s">
        <v>317</v>
      </c>
      <c r="D23" s="21" t="s">
        <v>11</v>
      </c>
      <c r="E23" s="21" t="s">
        <v>381</v>
      </c>
      <c r="F23" s="21" t="s">
        <v>382</v>
      </c>
      <c r="G23" s="21" t="s">
        <v>383</v>
      </c>
      <c r="H23" s="22">
        <v>2125000</v>
      </c>
      <c r="I23" s="26">
        <v>2042382</v>
      </c>
      <c r="J23" s="23">
        <v>4.0451786198664109E-2</v>
      </c>
      <c r="K23" s="17">
        <v>0.05</v>
      </c>
      <c r="L23" s="17">
        <v>7.0000000000000007E-2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491F-77E4-4C5C-AD9D-CD1825933DDE}">
  <dimension ref="A1:N8"/>
  <sheetViews>
    <sheetView workbookViewId="0">
      <selection activeCell="H1" sqref="H1:H1048576"/>
    </sheetView>
  </sheetViews>
  <sheetFormatPr defaultRowHeight="14.5" x14ac:dyDescent="0.35"/>
  <cols>
    <col min="1" max="1" width="9" style="10" bestFit="1" customWidth="1"/>
    <col min="2" max="2" width="13.08984375" style="10" bestFit="1" customWidth="1"/>
    <col min="3" max="3" width="16" style="10" bestFit="1" customWidth="1"/>
    <col min="4" max="4" width="9" style="10" bestFit="1" customWidth="1"/>
    <col min="5" max="5" width="18.08984375" style="10" bestFit="1" customWidth="1"/>
    <col min="6" max="6" width="16.453125" style="10" bestFit="1" customWidth="1"/>
    <col min="7" max="7" width="20.6328125" style="10" bestFit="1" customWidth="1"/>
    <col min="8" max="8" width="18.08984375" style="10" hidden="1" customWidth="1"/>
    <col min="9" max="9" width="11.90625" style="10" bestFit="1" customWidth="1"/>
    <col min="10" max="10" width="8.1796875" style="10" hidden="1" customWidth="1"/>
    <col min="11" max="11" width="10.36328125" style="10" hidden="1" customWidth="1"/>
    <col min="12" max="12" width="0" style="10" hidden="1" customWidth="1"/>
    <col min="13" max="16384" width="8.7265625" style="10"/>
  </cols>
  <sheetData>
    <row r="1" spans="1:14" ht="72.5" x14ac:dyDescent="0.3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615</v>
      </c>
      <c r="I1" s="20" t="s">
        <v>550</v>
      </c>
      <c r="J1" s="55" t="s">
        <v>9</v>
      </c>
      <c r="K1" s="55" t="s">
        <v>10</v>
      </c>
      <c r="L1" s="56" t="s">
        <v>283</v>
      </c>
      <c r="M1" s="57" t="s">
        <v>547</v>
      </c>
      <c r="N1" s="57" t="s">
        <v>548</v>
      </c>
    </row>
    <row r="2" spans="1:14" x14ac:dyDescent="0.35">
      <c r="A2" s="37" t="s">
        <v>289</v>
      </c>
      <c r="B2" s="37" t="s">
        <v>616</v>
      </c>
      <c r="C2" s="37" t="s">
        <v>617</v>
      </c>
      <c r="D2" s="37" t="s">
        <v>467</v>
      </c>
      <c r="E2" s="37" t="s">
        <v>618</v>
      </c>
      <c r="F2" s="37" t="s">
        <v>619</v>
      </c>
      <c r="G2" s="37" t="s">
        <v>620</v>
      </c>
      <c r="H2" s="37">
        <v>172500</v>
      </c>
      <c r="I2" s="37" t="s">
        <v>621</v>
      </c>
      <c r="J2" s="37" t="s">
        <v>12</v>
      </c>
      <c r="K2" s="37" t="s">
        <v>13</v>
      </c>
      <c r="L2" s="58">
        <f>(H2-I2)/I2</f>
        <v>8.1369107321965894E-2</v>
      </c>
      <c r="M2" s="59">
        <v>0.08</v>
      </c>
      <c r="N2" s="59">
        <f>M2+2%</f>
        <v>0.1</v>
      </c>
    </row>
    <row r="3" spans="1:14" x14ac:dyDescent="0.35">
      <c r="A3" s="60" t="s">
        <v>289</v>
      </c>
      <c r="B3" s="60" t="s">
        <v>616</v>
      </c>
      <c r="C3" s="60" t="s">
        <v>617</v>
      </c>
      <c r="D3" s="60" t="s">
        <v>467</v>
      </c>
      <c r="E3" s="60" t="s">
        <v>622</v>
      </c>
      <c r="F3" s="60" t="s">
        <v>623</v>
      </c>
      <c r="G3" s="60" t="s">
        <v>624</v>
      </c>
      <c r="H3" s="60">
        <v>342500</v>
      </c>
      <c r="I3" s="60" t="s">
        <v>625</v>
      </c>
      <c r="J3" s="60" t="s">
        <v>12</v>
      </c>
      <c r="K3" s="60" t="s">
        <v>13</v>
      </c>
      <c r="L3" s="58">
        <f t="shared" ref="L3:L8" si="0">(H3-I3)/I3</f>
        <v>7.3533099297893686E-2</v>
      </c>
      <c r="M3" s="58">
        <v>7.2499999999999995E-2</v>
      </c>
      <c r="N3" s="58">
        <f>M3+2%</f>
        <v>9.2499999999999999E-2</v>
      </c>
    </row>
    <row r="4" spans="1:14" x14ac:dyDescent="0.35">
      <c r="A4" s="37" t="s">
        <v>289</v>
      </c>
      <c r="B4" s="37" t="s">
        <v>616</v>
      </c>
      <c r="C4" s="37" t="s">
        <v>617</v>
      </c>
      <c r="D4" s="37" t="s">
        <v>467</v>
      </c>
      <c r="E4" s="37" t="s">
        <v>626</v>
      </c>
      <c r="F4" s="37" t="s">
        <v>627</v>
      </c>
      <c r="G4" s="37" t="s">
        <v>628</v>
      </c>
      <c r="H4" s="37">
        <v>600000</v>
      </c>
      <c r="I4" s="37" t="s">
        <v>629</v>
      </c>
      <c r="J4" s="37" t="s">
        <v>12</v>
      </c>
      <c r="K4" s="37" t="s">
        <v>13</v>
      </c>
      <c r="L4" s="58">
        <f t="shared" si="0"/>
        <v>8.0713054473341511E-2</v>
      </c>
      <c r="M4" s="59">
        <v>0.08</v>
      </c>
      <c r="N4" s="59">
        <f t="shared" ref="N4:N8" si="1">M4+2%</f>
        <v>0.1</v>
      </c>
    </row>
    <row r="5" spans="1:14" x14ac:dyDescent="0.35">
      <c r="A5" s="60" t="s">
        <v>289</v>
      </c>
      <c r="B5" s="60" t="s">
        <v>616</v>
      </c>
      <c r="C5" s="60" t="s">
        <v>617</v>
      </c>
      <c r="D5" s="60" t="s">
        <v>467</v>
      </c>
      <c r="E5" s="60" t="s">
        <v>630</v>
      </c>
      <c r="F5" s="60" t="s">
        <v>631</v>
      </c>
      <c r="G5" s="60" t="s">
        <v>632</v>
      </c>
      <c r="H5" s="60">
        <v>875000</v>
      </c>
      <c r="I5" s="60" t="s">
        <v>633</v>
      </c>
      <c r="J5" s="60" t="s">
        <v>12</v>
      </c>
      <c r="K5" s="60" t="s">
        <v>13</v>
      </c>
      <c r="L5" s="58">
        <f t="shared" si="0"/>
        <v>9.7041123370110324E-2</v>
      </c>
      <c r="M5" s="61">
        <v>9.5000000000000001E-2</v>
      </c>
      <c r="N5" s="59">
        <f t="shared" si="1"/>
        <v>0.115</v>
      </c>
    </row>
    <row r="6" spans="1:14" x14ac:dyDescent="0.35">
      <c r="A6" s="60" t="s">
        <v>15</v>
      </c>
      <c r="B6" s="60" t="s">
        <v>616</v>
      </c>
      <c r="C6" s="60" t="s">
        <v>617</v>
      </c>
      <c r="D6" s="60" t="s">
        <v>467</v>
      </c>
      <c r="E6" s="60" t="s">
        <v>634</v>
      </c>
      <c r="F6" s="60" t="s">
        <v>635</v>
      </c>
      <c r="G6" s="60" t="s">
        <v>636</v>
      </c>
      <c r="H6" s="60">
        <v>975000</v>
      </c>
      <c r="I6" s="60" t="s">
        <v>637</v>
      </c>
      <c r="J6" s="60" t="s">
        <v>12</v>
      </c>
      <c r="K6" s="60" t="s">
        <v>13</v>
      </c>
      <c r="L6" s="58">
        <f t="shared" si="0"/>
        <v>5.9996912419249981E-2</v>
      </c>
      <c r="M6" s="59">
        <v>0.06</v>
      </c>
      <c r="N6" s="59">
        <f t="shared" si="1"/>
        <v>0.08</v>
      </c>
    </row>
    <row r="7" spans="1:14" x14ac:dyDescent="0.35">
      <c r="A7" s="60" t="s">
        <v>289</v>
      </c>
      <c r="B7" s="60" t="s">
        <v>616</v>
      </c>
      <c r="C7" s="60" t="s">
        <v>617</v>
      </c>
      <c r="D7" s="60" t="s">
        <v>467</v>
      </c>
      <c r="E7" s="60" t="s">
        <v>638</v>
      </c>
      <c r="F7" s="60" t="s">
        <v>639</v>
      </c>
      <c r="G7" s="60" t="s">
        <v>640</v>
      </c>
      <c r="H7" s="60">
        <v>720000</v>
      </c>
      <c r="I7" s="60" t="s">
        <v>641</v>
      </c>
      <c r="J7" s="60" t="s">
        <v>12</v>
      </c>
      <c r="K7" s="60" t="s">
        <v>13</v>
      </c>
      <c r="L7" s="58">
        <f t="shared" si="0"/>
        <v>6.2735333145386624E-2</v>
      </c>
      <c r="M7" s="62">
        <v>0.06</v>
      </c>
      <c r="N7" s="59">
        <f t="shared" si="1"/>
        <v>0.08</v>
      </c>
    </row>
    <row r="8" spans="1:14" x14ac:dyDescent="0.35">
      <c r="A8" s="37" t="s">
        <v>289</v>
      </c>
      <c r="B8" s="37" t="s">
        <v>616</v>
      </c>
      <c r="C8" s="37" t="s">
        <v>617</v>
      </c>
      <c r="D8" s="37" t="s">
        <v>467</v>
      </c>
      <c r="E8" s="37" t="s">
        <v>642</v>
      </c>
      <c r="F8" s="37" t="s">
        <v>643</v>
      </c>
      <c r="G8" s="37" t="s">
        <v>644</v>
      </c>
      <c r="H8" s="37">
        <v>1200000</v>
      </c>
      <c r="I8" s="37" t="s">
        <v>645</v>
      </c>
      <c r="J8" s="37" t="s">
        <v>12</v>
      </c>
      <c r="K8" s="37" t="s">
        <v>13</v>
      </c>
      <c r="L8" s="58">
        <f t="shared" si="0"/>
        <v>6.2564694694171738E-2</v>
      </c>
      <c r="M8" s="59">
        <v>0.06</v>
      </c>
      <c r="N8" s="59">
        <f t="shared" si="1"/>
        <v>0.08</v>
      </c>
    </row>
  </sheetData>
  <autoFilter ref="A1:N8" xr:uid="{5C4FE182-21BD-45D8-BAAC-7619E7220D8B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9491-36A6-4FF1-A22F-A9329300676F}">
  <dimension ref="A1:N128"/>
  <sheetViews>
    <sheetView workbookViewId="0">
      <selection activeCell="G14" sqref="G14"/>
    </sheetView>
  </sheetViews>
  <sheetFormatPr defaultRowHeight="14.5" x14ac:dyDescent="0.35"/>
  <cols>
    <col min="1" max="1" width="14.1796875" style="10" bestFit="1" customWidth="1"/>
    <col min="2" max="2" width="9.08984375" style="10" customWidth="1"/>
    <col min="3" max="3" width="19" style="10" bestFit="1" customWidth="1"/>
    <col min="4" max="4" width="9" style="10" hidden="1" customWidth="1"/>
    <col min="5" max="5" width="10.90625" style="10" customWidth="1"/>
    <col min="6" max="6" width="16.6328125" style="10" customWidth="1"/>
    <col min="7" max="7" width="28.7265625" style="10" customWidth="1"/>
    <col min="8" max="8" width="18.08984375" style="4" hidden="1" customWidth="1"/>
    <col min="9" max="9" width="17.54296875" style="10" hidden="1" customWidth="1"/>
    <col min="10" max="10" width="0" style="10" hidden="1" customWidth="1"/>
    <col min="11" max="11" width="10.36328125" style="10" hidden="1" customWidth="1"/>
    <col min="12" max="12" width="0" style="6" hidden="1" customWidth="1"/>
    <col min="13" max="13" width="11.7265625" style="10" bestFit="1" customWidth="1"/>
    <col min="14" max="16384" width="8.7265625" style="10"/>
  </cols>
  <sheetData>
    <row r="1" spans="1:14" ht="58" x14ac:dyDescent="0.35">
      <c r="A1" s="50" t="s">
        <v>0</v>
      </c>
      <c r="B1" s="49" t="s">
        <v>1</v>
      </c>
      <c r="C1" s="50" t="s">
        <v>2</v>
      </c>
      <c r="D1" s="50" t="s">
        <v>3</v>
      </c>
      <c r="E1" s="49" t="s">
        <v>4</v>
      </c>
      <c r="F1" s="50" t="s">
        <v>5</v>
      </c>
      <c r="G1" s="50" t="s">
        <v>6</v>
      </c>
      <c r="H1" s="63" t="s">
        <v>615</v>
      </c>
      <c r="I1" s="50" t="s">
        <v>8</v>
      </c>
      <c r="J1" s="50" t="s">
        <v>9</v>
      </c>
      <c r="K1" s="50" t="s">
        <v>10</v>
      </c>
      <c r="L1" s="64" t="s">
        <v>283</v>
      </c>
      <c r="M1" s="51" t="s">
        <v>547</v>
      </c>
      <c r="N1" s="51" t="s">
        <v>548</v>
      </c>
    </row>
    <row r="2" spans="1:14" x14ac:dyDescent="0.35">
      <c r="A2" s="10" t="s">
        <v>289</v>
      </c>
      <c r="B2" s="10" t="s">
        <v>1237</v>
      </c>
      <c r="C2" s="10" t="s">
        <v>1238</v>
      </c>
      <c r="D2" s="10" t="s">
        <v>467</v>
      </c>
      <c r="E2" s="10" t="s">
        <v>1239</v>
      </c>
      <c r="F2" s="10" t="s">
        <v>1240</v>
      </c>
      <c r="G2" s="10" t="s">
        <v>1241</v>
      </c>
      <c r="H2" s="4">
        <v>20000</v>
      </c>
      <c r="I2" s="10" t="s">
        <v>1242</v>
      </c>
      <c r="J2" s="10" t="s">
        <v>12</v>
      </c>
      <c r="K2" s="10" t="s">
        <v>13</v>
      </c>
      <c r="L2" s="6">
        <f t="shared" ref="L2:L65" si="0">(H2-I2)/I2</f>
        <v>9.9505222649807587E-2</v>
      </c>
      <c r="M2" s="6">
        <v>0.1</v>
      </c>
      <c r="N2" s="6">
        <f>M2+2%</f>
        <v>0.12000000000000001</v>
      </c>
    </row>
    <row r="3" spans="1:14" x14ac:dyDescent="0.35">
      <c r="A3" s="52" t="s">
        <v>289</v>
      </c>
      <c r="B3" s="52" t="s">
        <v>1237</v>
      </c>
      <c r="C3" s="52" t="s">
        <v>1238</v>
      </c>
      <c r="D3" s="52" t="s">
        <v>467</v>
      </c>
      <c r="E3" s="52" t="s">
        <v>1243</v>
      </c>
      <c r="F3" s="52" t="s">
        <v>1244</v>
      </c>
      <c r="G3" s="52" t="s">
        <v>1245</v>
      </c>
      <c r="H3" s="66">
        <v>50000</v>
      </c>
      <c r="I3" s="52" t="s">
        <v>1246</v>
      </c>
      <c r="J3" s="52" t="s">
        <v>12</v>
      </c>
      <c r="K3" s="52" t="s">
        <v>13</v>
      </c>
      <c r="L3" s="6">
        <f t="shared" si="0"/>
        <v>9.6467182737220672E-2</v>
      </c>
      <c r="M3" s="6">
        <v>9.5000000000000001E-2</v>
      </c>
      <c r="N3" s="6">
        <f t="shared" ref="N3:N66" si="1">M3+2%</f>
        <v>0.115</v>
      </c>
    </row>
    <row r="4" spans="1:14" x14ac:dyDescent="0.35">
      <c r="A4" s="52" t="s">
        <v>289</v>
      </c>
      <c r="B4" s="52" t="s">
        <v>1237</v>
      </c>
      <c r="C4" s="52" t="s">
        <v>1238</v>
      </c>
      <c r="D4" s="52" t="s">
        <v>467</v>
      </c>
      <c r="E4" s="52" t="s">
        <v>1247</v>
      </c>
      <c r="F4" s="52" t="s">
        <v>1248</v>
      </c>
      <c r="G4" s="52" t="s">
        <v>1249</v>
      </c>
      <c r="H4" s="66">
        <v>100000</v>
      </c>
      <c r="I4" s="52" t="s">
        <v>1250</v>
      </c>
      <c r="J4" s="52" t="s">
        <v>12</v>
      </c>
      <c r="K4" s="52" t="s">
        <v>13</v>
      </c>
      <c r="L4" s="6">
        <f t="shared" si="0"/>
        <v>7.0400222643246316E-2</v>
      </c>
      <c r="M4" s="6">
        <v>7.0000000000000007E-2</v>
      </c>
      <c r="N4" s="6">
        <f t="shared" si="1"/>
        <v>9.0000000000000011E-2</v>
      </c>
    </row>
    <row r="5" spans="1:14" x14ac:dyDescent="0.35">
      <c r="A5" s="52" t="s">
        <v>289</v>
      </c>
      <c r="B5" s="52" t="s">
        <v>1237</v>
      </c>
      <c r="C5" s="52" t="s">
        <v>1238</v>
      </c>
      <c r="D5" s="52" t="s">
        <v>467</v>
      </c>
      <c r="E5" s="52" t="s">
        <v>1251</v>
      </c>
      <c r="F5" s="52" t="s">
        <v>1252</v>
      </c>
      <c r="G5" s="52" t="s">
        <v>1253</v>
      </c>
      <c r="H5" s="66">
        <v>110000</v>
      </c>
      <c r="I5" s="52" t="s">
        <v>1254</v>
      </c>
      <c r="J5" s="52" t="s">
        <v>12</v>
      </c>
      <c r="K5" s="52" t="s">
        <v>13</v>
      </c>
      <c r="L5" s="6">
        <f t="shared" si="0"/>
        <v>4.0513824645042898E-2</v>
      </c>
      <c r="M5" s="6">
        <v>0.04</v>
      </c>
      <c r="N5" s="6">
        <f t="shared" si="1"/>
        <v>0.06</v>
      </c>
    </row>
    <row r="6" spans="1:14" x14ac:dyDescent="0.35">
      <c r="A6" s="10" t="s">
        <v>551</v>
      </c>
      <c r="B6" s="10" t="s">
        <v>1237</v>
      </c>
      <c r="C6" s="10" t="s">
        <v>1238</v>
      </c>
      <c r="D6" s="10" t="s">
        <v>467</v>
      </c>
      <c r="E6" s="10" t="s">
        <v>1251</v>
      </c>
      <c r="F6" s="10" t="s">
        <v>1255</v>
      </c>
      <c r="G6" s="10" t="s">
        <v>1253</v>
      </c>
      <c r="H6" s="66">
        <v>110000</v>
      </c>
      <c r="I6" s="10" t="s">
        <v>1254</v>
      </c>
      <c r="J6" s="10" t="s">
        <v>12</v>
      </c>
      <c r="K6" s="10" t="s">
        <v>13</v>
      </c>
      <c r="L6" s="6">
        <f t="shared" si="0"/>
        <v>4.0513824645042898E-2</v>
      </c>
      <c r="M6" s="6">
        <v>0.04</v>
      </c>
      <c r="N6" s="6">
        <f t="shared" si="1"/>
        <v>0.06</v>
      </c>
    </row>
    <row r="7" spans="1:14" x14ac:dyDescent="0.35">
      <c r="A7" s="52" t="s">
        <v>289</v>
      </c>
      <c r="B7" s="52" t="s">
        <v>1237</v>
      </c>
      <c r="C7" s="52" t="s">
        <v>1238</v>
      </c>
      <c r="D7" s="52" t="s">
        <v>467</v>
      </c>
      <c r="E7" s="52" t="s">
        <v>1256</v>
      </c>
      <c r="F7" s="52" t="s">
        <v>1257</v>
      </c>
      <c r="G7" s="52" t="s">
        <v>1258</v>
      </c>
      <c r="H7" s="66">
        <f>(I7*106%)</f>
        <v>113697.72</v>
      </c>
      <c r="I7" s="52" t="s">
        <v>1259</v>
      </c>
      <c r="J7" s="52" t="s">
        <v>12</v>
      </c>
      <c r="K7" s="52" t="s">
        <v>13</v>
      </c>
      <c r="L7" s="6">
        <f t="shared" si="0"/>
        <v>6.0000000000000012E-2</v>
      </c>
      <c r="M7" s="6">
        <v>0.06</v>
      </c>
      <c r="N7" s="6">
        <f t="shared" si="1"/>
        <v>0.08</v>
      </c>
    </row>
    <row r="8" spans="1:14" x14ac:dyDescent="0.35">
      <c r="A8" s="52" t="s">
        <v>289</v>
      </c>
      <c r="B8" s="52" t="s">
        <v>1237</v>
      </c>
      <c r="C8" s="52" t="s">
        <v>1238</v>
      </c>
      <c r="D8" s="52" t="s">
        <v>467</v>
      </c>
      <c r="E8" s="52" t="s">
        <v>1260</v>
      </c>
      <c r="F8" s="52" t="s">
        <v>1261</v>
      </c>
      <c r="G8" s="52" t="s">
        <v>1262</v>
      </c>
      <c r="H8" s="66">
        <f>(I8*106%)</f>
        <v>124076.18000000001</v>
      </c>
      <c r="I8" s="52" t="s">
        <v>1263</v>
      </c>
      <c r="J8" s="52" t="s">
        <v>12</v>
      </c>
      <c r="K8" s="52" t="s">
        <v>13</v>
      </c>
      <c r="L8" s="6">
        <f t="shared" si="0"/>
        <v>6.0000000000000067E-2</v>
      </c>
      <c r="M8" s="6">
        <v>0.06</v>
      </c>
      <c r="N8" s="6">
        <f t="shared" si="1"/>
        <v>0.08</v>
      </c>
    </row>
    <row r="9" spans="1:14" x14ac:dyDescent="0.35">
      <c r="A9" s="52" t="s">
        <v>15</v>
      </c>
      <c r="B9" s="52" t="s">
        <v>1237</v>
      </c>
      <c r="C9" s="52" t="s">
        <v>1238</v>
      </c>
      <c r="D9" s="52" t="s">
        <v>467</v>
      </c>
      <c r="E9" s="52" t="s">
        <v>1260</v>
      </c>
      <c r="F9" s="52" t="s">
        <v>1264</v>
      </c>
      <c r="G9" s="52" t="s">
        <v>1262</v>
      </c>
      <c r="H9" s="66">
        <v>125000</v>
      </c>
      <c r="I9" s="52" t="s">
        <v>1263</v>
      </c>
      <c r="J9" s="52" t="s">
        <v>12</v>
      </c>
      <c r="K9" s="52" t="s">
        <v>13</v>
      </c>
      <c r="L9" s="6">
        <f t="shared" si="0"/>
        <v>6.7892322281359732E-2</v>
      </c>
      <c r="M9" s="6">
        <v>6.7500000000000004E-2</v>
      </c>
      <c r="N9" s="6">
        <f t="shared" si="1"/>
        <v>8.7500000000000008E-2</v>
      </c>
    </row>
    <row r="10" spans="1:14" x14ac:dyDescent="0.35">
      <c r="A10" s="52" t="s">
        <v>16</v>
      </c>
      <c r="B10" s="52" t="s">
        <v>1237</v>
      </c>
      <c r="C10" s="52" t="s">
        <v>1238</v>
      </c>
      <c r="D10" s="52" t="s">
        <v>467</v>
      </c>
      <c r="E10" s="52" t="s">
        <v>1265</v>
      </c>
      <c r="F10" s="52" t="s">
        <v>1266</v>
      </c>
      <c r="G10" s="52" t="s">
        <v>1267</v>
      </c>
      <c r="H10" s="66">
        <v>135000</v>
      </c>
      <c r="I10" s="52" t="s">
        <v>1268</v>
      </c>
      <c r="J10" s="52" t="s">
        <v>12</v>
      </c>
      <c r="K10" s="52" t="s">
        <v>13</v>
      </c>
      <c r="L10" s="6">
        <f t="shared" si="0"/>
        <v>8.3171526228797921E-2</v>
      </c>
      <c r="M10" s="6">
        <v>8.2500000000000004E-2</v>
      </c>
      <c r="N10" s="6">
        <f t="shared" si="1"/>
        <v>0.10250000000000001</v>
      </c>
    </row>
    <row r="11" spans="1:14" x14ac:dyDescent="0.35">
      <c r="A11" s="10" t="s">
        <v>16</v>
      </c>
      <c r="B11" s="10" t="s">
        <v>1237</v>
      </c>
      <c r="C11" s="10" t="s">
        <v>1238</v>
      </c>
      <c r="D11" s="10" t="s">
        <v>467</v>
      </c>
      <c r="E11" s="10" t="s">
        <v>1265</v>
      </c>
      <c r="F11" s="10" t="s">
        <v>1269</v>
      </c>
      <c r="G11" s="10" t="s">
        <v>1267</v>
      </c>
      <c r="H11" s="66">
        <v>135000</v>
      </c>
      <c r="I11" s="10" t="s">
        <v>1270</v>
      </c>
      <c r="J11" s="10" t="s">
        <v>12</v>
      </c>
      <c r="K11" s="10" t="s">
        <v>13</v>
      </c>
      <c r="L11" s="6">
        <f t="shared" si="0"/>
        <v>6.0687010905433859E-2</v>
      </c>
      <c r="M11" s="6">
        <v>0.06</v>
      </c>
      <c r="N11" s="6">
        <f t="shared" si="1"/>
        <v>0.08</v>
      </c>
    </row>
    <row r="12" spans="1:14" x14ac:dyDescent="0.35">
      <c r="A12" s="10" t="s">
        <v>289</v>
      </c>
      <c r="B12" s="10" t="s">
        <v>1237</v>
      </c>
      <c r="C12" s="10" t="s">
        <v>1238</v>
      </c>
      <c r="D12" s="10" t="s">
        <v>467</v>
      </c>
      <c r="E12" s="10" t="s">
        <v>1271</v>
      </c>
      <c r="F12" s="10" t="s">
        <v>1272</v>
      </c>
      <c r="G12" s="10" t="s">
        <v>1273</v>
      </c>
      <c r="H12" s="66">
        <v>140000</v>
      </c>
      <c r="I12" s="10" t="s">
        <v>1274</v>
      </c>
      <c r="J12" s="10" t="s">
        <v>12</v>
      </c>
      <c r="K12" s="10" t="s">
        <v>13</v>
      </c>
      <c r="L12" s="6">
        <f t="shared" si="0"/>
        <v>6.0132213631785794E-2</v>
      </c>
      <c r="M12" s="6">
        <v>0.06</v>
      </c>
      <c r="N12" s="6">
        <f t="shared" si="1"/>
        <v>0.08</v>
      </c>
    </row>
    <row r="13" spans="1:14" x14ac:dyDescent="0.35">
      <c r="A13" s="10" t="s">
        <v>289</v>
      </c>
      <c r="B13" s="10" t="s">
        <v>1237</v>
      </c>
      <c r="C13" s="10" t="s">
        <v>1238</v>
      </c>
      <c r="D13" s="10" t="s">
        <v>467</v>
      </c>
      <c r="E13" s="10" t="s">
        <v>1275</v>
      </c>
      <c r="F13" s="10" t="s">
        <v>1276</v>
      </c>
      <c r="G13" s="10" t="s">
        <v>1277</v>
      </c>
      <c r="H13" s="66">
        <v>195000</v>
      </c>
      <c r="I13" s="10" t="s">
        <v>1278</v>
      </c>
      <c r="J13" s="10" t="s">
        <v>12</v>
      </c>
      <c r="K13" s="10" t="s">
        <v>13</v>
      </c>
      <c r="L13" s="6">
        <f t="shared" si="0"/>
        <v>7.8694945069534339E-2</v>
      </c>
      <c r="M13" s="6">
        <v>0.08</v>
      </c>
      <c r="N13" s="6">
        <f t="shared" si="1"/>
        <v>0.1</v>
      </c>
    </row>
    <row r="14" spans="1:14" x14ac:dyDescent="0.35">
      <c r="A14" s="52" t="s">
        <v>289</v>
      </c>
      <c r="B14" s="52" t="s">
        <v>1237</v>
      </c>
      <c r="C14" s="52" t="s">
        <v>1238</v>
      </c>
      <c r="D14" s="52" t="s">
        <v>467</v>
      </c>
      <c r="E14" s="52" t="s">
        <v>1279</v>
      </c>
      <c r="F14" s="52" t="s">
        <v>1280</v>
      </c>
      <c r="G14" s="52" t="s">
        <v>1281</v>
      </c>
      <c r="H14" s="66">
        <v>200000</v>
      </c>
      <c r="I14" s="52" t="s">
        <v>1282</v>
      </c>
      <c r="J14" s="52" t="s">
        <v>12</v>
      </c>
      <c r="K14" s="52" t="s">
        <v>13</v>
      </c>
      <c r="L14" s="6">
        <f t="shared" si="0"/>
        <v>7.0405951457090096E-2</v>
      </c>
      <c r="M14" s="6">
        <v>7.0000000000000007E-2</v>
      </c>
      <c r="N14" s="6">
        <f t="shared" si="1"/>
        <v>9.0000000000000011E-2</v>
      </c>
    </row>
    <row r="15" spans="1:14" x14ac:dyDescent="0.35">
      <c r="A15" s="52" t="s">
        <v>289</v>
      </c>
      <c r="B15" s="52" t="s">
        <v>1237</v>
      </c>
      <c r="C15" s="52" t="s">
        <v>1238</v>
      </c>
      <c r="D15" s="52" t="s">
        <v>467</v>
      </c>
      <c r="E15" s="52" t="s">
        <v>1283</v>
      </c>
      <c r="F15" s="52" t="s">
        <v>1284</v>
      </c>
      <c r="G15" s="52" t="s">
        <v>1285</v>
      </c>
      <c r="H15" s="66">
        <v>215000</v>
      </c>
      <c r="I15" s="52" t="s">
        <v>1286</v>
      </c>
      <c r="J15" s="52" t="s">
        <v>12</v>
      </c>
      <c r="K15" s="52" t="s">
        <v>13</v>
      </c>
      <c r="L15" s="6">
        <f t="shared" si="0"/>
        <v>6.7707557383073602E-2</v>
      </c>
      <c r="M15" s="6">
        <v>6.7500000000000004E-2</v>
      </c>
      <c r="N15" s="6">
        <f t="shared" si="1"/>
        <v>8.7500000000000008E-2</v>
      </c>
    </row>
    <row r="16" spans="1:14" x14ac:dyDescent="0.35">
      <c r="A16" s="10" t="s">
        <v>289</v>
      </c>
      <c r="B16" s="10" t="s">
        <v>1237</v>
      </c>
      <c r="C16" s="10" t="s">
        <v>1238</v>
      </c>
      <c r="D16" s="10" t="s">
        <v>467</v>
      </c>
      <c r="E16" s="10" t="s">
        <v>1287</v>
      </c>
      <c r="F16" s="10" t="s">
        <v>1288</v>
      </c>
      <c r="G16" s="10" t="s">
        <v>1289</v>
      </c>
      <c r="H16" s="66">
        <v>220000</v>
      </c>
      <c r="I16" s="10" t="s">
        <v>1290</v>
      </c>
      <c r="J16" s="10" t="s">
        <v>12</v>
      </c>
      <c r="K16" s="10" t="s">
        <v>13</v>
      </c>
      <c r="L16" s="6">
        <f t="shared" si="0"/>
        <v>8.0788975952445288E-2</v>
      </c>
      <c r="M16" s="6">
        <v>0.08</v>
      </c>
      <c r="N16" s="6">
        <f t="shared" si="1"/>
        <v>0.1</v>
      </c>
    </row>
    <row r="17" spans="1:14" x14ac:dyDescent="0.35">
      <c r="A17" s="10" t="s">
        <v>289</v>
      </c>
      <c r="B17" s="10" t="s">
        <v>1237</v>
      </c>
      <c r="C17" s="10" t="s">
        <v>1238</v>
      </c>
      <c r="D17" s="10" t="s">
        <v>467</v>
      </c>
      <c r="E17" s="10" t="s">
        <v>1291</v>
      </c>
      <c r="F17" s="10" t="s">
        <v>1292</v>
      </c>
      <c r="G17" s="10" t="s">
        <v>1293</v>
      </c>
      <c r="H17" s="66">
        <v>220000</v>
      </c>
      <c r="I17" s="10" t="s">
        <v>1294</v>
      </c>
      <c r="J17" s="10" t="s">
        <v>12</v>
      </c>
      <c r="K17" s="10" t="s">
        <v>13</v>
      </c>
      <c r="L17" s="6">
        <f t="shared" si="0"/>
        <v>7.3097447003619268E-2</v>
      </c>
      <c r="M17" s="6">
        <v>7.2499999999999995E-2</v>
      </c>
      <c r="N17" s="6">
        <f t="shared" si="1"/>
        <v>9.2499999999999999E-2</v>
      </c>
    </row>
    <row r="18" spans="1:14" x14ac:dyDescent="0.35">
      <c r="A18" s="10" t="s">
        <v>15</v>
      </c>
      <c r="B18" s="10" t="s">
        <v>1237</v>
      </c>
      <c r="C18" s="10" t="s">
        <v>1238</v>
      </c>
      <c r="D18" s="10" t="s">
        <v>467</v>
      </c>
      <c r="E18" s="10" t="s">
        <v>1291</v>
      </c>
      <c r="F18" s="10" t="s">
        <v>1295</v>
      </c>
      <c r="G18" s="10" t="s">
        <v>1293</v>
      </c>
      <c r="H18" s="66">
        <v>220000</v>
      </c>
      <c r="I18" s="10" t="s">
        <v>1294</v>
      </c>
      <c r="J18" s="10" t="s">
        <v>12</v>
      </c>
      <c r="K18" s="10" t="s">
        <v>13</v>
      </c>
      <c r="L18" s="6">
        <f t="shared" si="0"/>
        <v>7.3097447003619268E-2</v>
      </c>
      <c r="M18" s="6">
        <v>7.2499999999999995E-2</v>
      </c>
      <c r="N18" s="6">
        <f t="shared" si="1"/>
        <v>9.2499999999999999E-2</v>
      </c>
    </row>
    <row r="19" spans="1:14" x14ac:dyDescent="0.35">
      <c r="A19" s="52" t="s">
        <v>16</v>
      </c>
      <c r="B19" s="52" t="s">
        <v>1237</v>
      </c>
      <c r="C19" s="52" t="s">
        <v>1238</v>
      </c>
      <c r="D19" s="52" t="s">
        <v>467</v>
      </c>
      <c r="E19" s="52" t="s">
        <v>1296</v>
      </c>
      <c r="F19" s="52" t="s">
        <v>1297</v>
      </c>
      <c r="G19" s="52" t="s">
        <v>1298</v>
      </c>
      <c r="H19" s="66">
        <v>225000</v>
      </c>
      <c r="I19" s="52" t="s">
        <v>1299</v>
      </c>
      <c r="J19" s="52" t="s">
        <v>12</v>
      </c>
      <c r="K19" s="52" t="s">
        <v>13</v>
      </c>
      <c r="L19" s="6">
        <f t="shared" si="0"/>
        <v>8.317326439537269E-2</v>
      </c>
      <c r="M19" s="6">
        <v>8.2500000000000004E-2</v>
      </c>
      <c r="N19" s="6">
        <f t="shared" si="1"/>
        <v>0.10250000000000001</v>
      </c>
    </row>
    <row r="20" spans="1:14" x14ac:dyDescent="0.35">
      <c r="A20" s="10" t="s">
        <v>289</v>
      </c>
      <c r="B20" s="10" t="s">
        <v>1237</v>
      </c>
      <c r="C20" s="10" t="s">
        <v>1238</v>
      </c>
      <c r="D20" s="10" t="s">
        <v>467</v>
      </c>
      <c r="E20" s="10" t="s">
        <v>1300</v>
      </c>
      <c r="F20" s="10" t="s">
        <v>1301</v>
      </c>
      <c r="G20" s="10" t="s">
        <v>1302</v>
      </c>
      <c r="H20" s="66">
        <v>225000</v>
      </c>
      <c r="I20" s="10" t="s">
        <v>1303</v>
      </c>
      <c r="J20" s="10" t="s">
        <v>12</v>
      </c>
      <c r="K20" s="10" t="s">
        <v>13</v>
      </c>
      <c r="L20" s="6">
        <f t="shared" si="0"/>
        <v>7.0404041845662013E-2</v>
      </c>
      <c r="M20" s="6">
        <v>7.0000000000000007E-2</v>
      </c>
      <c r="N20" s="6">
        <f t="shared" si="1"/>
        <v>9.0000000000000011E-2</v>
      </c>
    </row>
    <row r="21" spans="1:14" x14ac:dyDescent="0.35">
      <c r="A21" s="52" t="s">
        <v>18</v>
      </c>
      <c r="B21" s="52" t="s">
        <v>1237</v>
      </c>
      <c r="C21" s="52" t="s">
        <v>1238</v>
      </c>
      <c r="D21" s="52" t="s">
        <v>467</v>
      </c>
      <c r="E21" s="52" t="s">
        <v>1304</v>
      </c>
      <c r="F21" s="52" t="s">
        <v>1305</v>
      </c>
      <c r="G21" s="52" t="s">
        <v>1306</v>
      </c>
      <c r="H21" s="66">
        <f>15*15000</f>
        <v>225000</v>
      </c>
      <c r="I21" s="52" t="s">
        <v>1307</v>
      </c>
      <c r="J21" s="52" t="s">
        <v>12</v>
      </c>
      <c r="K21" s="52" t="s">
        <v>13</v>
      </c>
      <c r="L21" s="6">
        <f t="shared" si="0"/>
        <v>6.6315335510196347E-2</v>
      </c>
      <c r="M21" s="6">
        <v>6.5000000000000002E-2</v>
      </c>
      <c r="N21" s="6">
        <f t="shared" si="1"/>
        <v>8.5000000000000006E-2</v>
      </c>
    </row>
    <row r="22" spans="1:14" x14ac:dyDescent="0.35">
      <c r="A22" s="10" t="s">
        <v>16</v>
      </c>
      <c r="B22" s="10" t="s">
        <v>1237</v>
      </c>
      <c r="C22" s="10" t="s">
        <v>1238</v>
      </c>
      <c r="D22" s="10" t="s">
        <v>467</v>
      </c>
      <c r="E22" s="10" t="s">
        <v>1296</v>
      </c>
      <c r="F22" s="10" t="s">
        <v>1308</v>
      </c>
      <c r="G22" s="10" t="s">
        <v>1298</v>
      </c>
      <c r="H22" s="66">
        <v>225000</v>
      </c>
      <c r="I22" s="10" t="s">
        <v>1309</v>
      </c>
      <c r="J22" s="10" t="s">
        <v>12</v>
      </c>
      <c r="K22" s="10" t="s">
        <v>13</v>
      </c>
      <c r="L22" s="6">
        <f t="shared" si="0"/>
        <v>6.069034441794028E-2</v>
      </c>
      <c r="M22" s="6">
        <v>0.06</v>
      </c>
      <c r="N22" s="6">
        <f t="shared" si="1"/>
        <v>0.08</v>
      </c>
    </row>
    <row r="23" spans="1:14" x14ac:dyDescent="0.35">
      <c r="A23" s="52" t="s">
        <v>289</v>
      </c>
      <c r="B23" s="52" t="s">
        <v>1237</v>
      </c>
      <c r="C23" s="52" t="s">
        <v>1238</v>
      </c>
      <c r="D23" s="52" t="s">
        <v>467</v>
      </c>
      <c r="E23" s="52" t="s">
        <v>1310</v>
      </c>
      <c r="F23" s="52" t="s">
        <v>1311</v>
      </c>
      <c r="G23" s="52" t="s">
        <v>1312</v>
      </c>
      <c r="H23" s="66">
        <v>230000</v>
      </c>
      <c r="I23" s="52" t="s">
        <v>1313</v>
      </c>
      <c r="J23" s="52" t="s">
        <v>12</v>
      </c>
      <c r="K23" s="52" t="s">
        <v>13</v>
      </c>
      <c r="L23" s="6">
        <f t="shared" si="0"/>
        <v>7.1307134439729664E-2</v>
      </c>
      <c r="M23" s="6">
        <v>7.0000000000000007E-2</v>
      </c>
      <c r="N23" s="6">
        <f t="shared" si="1"/>
        <v>9.0000000000000011E-2</v>
      </c>
    </row>
    <row r="24" spans="1:14" x14ac:dyDescent="0.35">
      <c r="A24" s="52" t="s">
        <v>289</v>
      </c>
      <c r="B24" s="52" t="s">
        <v>1237</v>
      </c>
      <c r="C24" s="52" t="s">
        <v>1238</v>
      </c>
      <c r="D24" s="52" t="s">
        <v>467</v>
      </c>
      <c r="E24" s="52" t="s">
        <v>1314</v>
      </c>
      <c r="F24" s="52" t="s">
        <v>1315</v>
      </c>
      <c r="G24" s="52" t="s">
        <v>1316</v>
      </c>
      <c r="H24" s="66">
        <v>290000</v>
      </c>
      <c r="I24" s="52" t="s">
        <v>1317</v>
      </c>
      <c r="J24" s="52" t="s">
        <v>12</v>
      </c>
      <c r="K24" s="52" t="s">
        <v>13</v>
      </c>
      <c r="L24" s="6">
        <f t="shared" si="0"/>
        <v>7.4364550415482705E-2</v>
      </c>
      <c r="M24" s="6">
        <v>7.4999999999999997E-2</v>
      </c>
      <c r="N24" s="6">
        <f t="shared" si="1"/>
        <v>9.5000000000000001E-2</v>
      </c>
    </row>
    <row r="25" spans="1:14" x14ac:dyDescent="0.35">
      <c r="A25" s="52" t="s">
        <v>668</v>
      </c>
      <c r="B25" s="52" t="s">
        <v>1237</v>
      </c>
      <c r="C25" s="52" t="s">
        <v>1238</v>
      </c>
      <c r="D25" s="52" t="s">
        <v>467</v>
      </c>
      <c r="E25" s="52" t="s">
        <v>1314</v>
      </c>
      <c r="F25" s="52" t="s">
        <v>1318</v>
      </c>
      <c r="G25" s="52" t="s">
        <v>1316</v>
      </c>
      <c r="H25" s="66">
        <v>290000</v>
      </c>
      <c r="I25" s="52" t="s">
        <v>1317</v>
      </c>
      <c r="J25" s="52" t="s">
        <v>12</v>
      </c>
      <c r="K25" s="52" t="s">
        <v>13</v>
      </c>
      <c r="L25" s="6">
        <f t="shared" si="0"/>
        <v>7.4364550415482705E-2</v>
      </c>
      <c r="M25" s="6">
        <v>7.4999999999999997E-2</v>
      </c>
      <c r="N25" s="6">
        <f t="shared" si="1"/>
        <v>9.5000000000000001E-2</v>
      </c>
    </row>
    <row r="26" spans="1:14" x14ac:dyDescent="0.35">
      <c r="A26" s="52" t="s">
        <v>289</v>
      </c>
      <c r="B26" s="52" t="s">
        <v>1237</v>
      </c>
      <c r="C26" s="52" t="s">
        <v>1238</v>
      </c>
      <c r="D26" s="52" t="s">
        <v>467</v>
      </c>
      <c r="E26" s="52" t="s">
        <v>1319</v>
      </c>
      <c r="F26" s="52" t="s">
        <v>1320</v>
      </c>
      <c r="G26" s="52" t="s">
        <v>1321</v>
      </c>
      <c r="H26" s="66">
        <v>300000</v>
      </c>
      <c r="I26" s="52" t="s">
        <v>1322</v>
      </c>
      <c r="J26" s="52" t="s">
        <v>12</v>
      </c>
      <c r="K26" s="52" t="s">
        <v>13</v>
      </c>
      <c r="L26" s="6">
        <f t="shared" si="0"/>
        <v>7.0404041845662013E-2</v>
      </c>
      <c r="M26" s="6">
        <v>7.0000000000000007E-2</v>
      </c>
      <c r="N26" s="6">
        <f t="shared" si="1"/>
        <v>9.0000000000000011E-2</v>
      </c>
    </row>
    <row r="27" spans="1:14" x14ac:dyDescent="0.35">
      <c r="A27" s="52" t="s">
        <v>18</v>
      </c>
      <c r="B27" s="52" t="s">
        <v>1237</v>
      </c>
      <c r="C27" s="52" t="s">
        <v>1238</v>
      </c>
      <c r="D27" s="52" t="s">
        <v>467</v>
      </c>
      <c r="E27" s="52" t="s">
        <v>1323</v>
      </c>
      <c r="F27" s="52" t="s">
        <v>1324</v>
      </c>
      <c r="G27" s="52" t="s">
        <v>1325</v>
      </c>
      <c r="H27" s="66">
        <v>315000</v>
      </c>
      <c r="I27" s="52" t="s">
        <v>1326</v>
      </c>
      <c r="J27" s="52" t="s">
        <v>12</v>
      </c>
      <c r="K27" s="52" t="s">
        <v>13</v>
      </c>
      <c r="L27" s="6">
        <f t="shared" si="0"/>
        <v>6.5218420500889371E-2</v>
      </c>
      <c r="M27" s="6">
        <v>6.5000000000000002E-2</v>
      </c>
      <c r="N27" s="6">
        <f t="shared" si="1"/>
        <v>8.5000000000000006E-2</v>
      </c>
    </row>
    <row r="28" spans="1:14" x14ac:dyDescent="0.35">
      <c r="A28" s="10" t="s">
        <v>14</v>
      </c>
      <c r="B28" s="10" t="s">
        <v>1237</v>
      </c>
      <c r="C28" s="10" t="s">
        <v>1238</v>
      </c>
      <c r="D28" s="10" t="s">
        <v>467</v>
      </c>
      <c r="E28" s="10" t="s">
        <v>1323</v>
      </c>
      <c r="F28" s="10" t="s">
        <v>1327</v>
      </c>
      <c r="G28" s="10" t="s">
        <v>1325</v>
      </c>
      <c r="H28" s="4">
        <v>315000</v>
      </c>
      <c r="I28" s="10" t="s">
        <v>1326</v>
      </c>
      <c r="J28" s="10" t="s">
        <v>12</v>
      </c>
      <c r="K28" s="10" t="s">
        <v>13</v>
      </c>
      <c r="L28" s="6">
        <f t="shared" si="0"/>
        <v>6.5218420500889371E-2</v>
      </c>
      <c r="M28" s="6">
        <v>6.5000000000000002E-2</v>
      </c>
      <c r="N28" s="6">
        <f t="shared" si="1"/>
        <v>8.5000000000000006E-2</v>
      </c>
    </row>
    <row r="29" spans="1:14" x14ac:dyDescent="0.35">
      <c r="A29" s="52" t="s">
        <v>289</v>
      </c>
      <c r="B29" s="52" t="s">
        <v>1237</v>
      </c>
      <c r="C29" s="52" t="s">
        <v>1238</v>
      </c>
      <c r="D29" s="52" t="s">
        <v>467</v>
      </c>
      <c r="E29" s="52" t="s">
        <v>1328</v>
      </c>
      <c r="F29" s="52" t="s">
        <v>1329</v>
      </c>
      <c r="G29" s="52" t="s">
        <v>1330</v>
      </c>
      <c r="H29" s="66">
        <v>345000</v>
      </c>
      <c r="I29" s="52" t="s">
        <v>1331</v>
      </c>
      <c r="J29" s="52" t="s">
        <v>12</v>
      </c>
      <c r="K29" s="52" t="s">
        <v>13</v>
      </c>
      <c r="L29" s="6">
        <f t="shared" si="0"/>
        <v>7.205449144220849E-2</v>
      </c>
      <c r="M29" s="6">
        <v>7.0000000000000007E-2</v>
      </c>
      <c r="N29" s="6">
        <f t="shared" si="1"/>
        <v>9.0000000000000011E-2</v>
      </c>
    </row>
    <row r="30" spans="1:14" x14ac:dyDescent="0.35">
      <c r="A30" s="52" t="s">
        <v>289</v>
      </c>
      <c r="B30" s="52" t="s">
        <v>1237</v>
      </c>
      <c r="C30" s="52" t="s">
        <v>1238</v>
      </c>
      <c r="D30" s="52" t="s">
        <v>467</v>
      </c>
      <c r="E30" s="52" t="s">
        <v>1332</v>
      </c>
      <c r="F30" s="52" t="s">
        <v>1333</v>
      </c>
      <c r="G30" s="52" t="s">
        <v>1334</v>
      </c>
      <c r="H30" s="66">
        <v>350000</v>
      </c>
      <c r="I30" s="52" t="s">
        <v>1335</v>
      </c>
      <c r="J30" s="52" t="s">
        <v>12</v>
      </c>
      <c r="K30" s="52" t="s">
        <v>13</v>
      </c>
      <c r="L30" s="6">
        <f t="shared" si="0"/>
        <v>6.6741440161900867E-2</v>
      </c>
      <c r="M30" s="6">
        <v>6.5000000000000002E-2</v>
      </c>
      <c r="N30" s="6">
        <f t="shared" si="1"/>
        <v>8.5000000000000006E-2</v>
      </c>
    </row>
    <row r="31" spans="1:14" x14ac:dyDescent="0.35">
      <c r="A31" s="52" t="s">
        <v>15</v>
      </c>
      <c r="B31" s="52" t="s">
        <v>1237</v>
      </c>
      <c r="C31" s="52" t="s">
        <v>1238</v>
      </c>
      <c r="D31" s="52" t="s">
        <v>467</v>
      </c>
      <c r="E31" s="52" t="s">
        <v>1332</v>
      </c>
      <c r="F31" s="52" t="s">
        <v>1336</v>
      </c>
      <c r="G31" s="52" t="s">
        <v>1334</v>
      </c>
      <c r="H31" s="66">
        <v>350000</v>
      </c>
      <c r="I31" s="52" t="s">
        <v>1335</v>
      </c>
      <c r="J31" s="52" t="s">
        <v>12</v>
      </c>
      <c r="K31" s="52" t="s">
        <v>13</v>
      </c>
      <c r="L31" s="6">
        <f t="shared" si="0"/>
        <v>6.6741440161900867E-2</v>
      </c>
      <c r="M31" s="6">
        <v>6.5000000000000002E-2</v>
      </c>
      <c r="N31" s="6">
        <f t="shared" si="1"/>
        <v>8.5000000000000006E-2</v>
      </c>
    </row>
    <row r="32" spans="1:14" x14ac:dyDescent="0.35">
      <c r="A32" s="52" t="s">
        <v>289</v>
      </c>
      <c r="B32" s="52" t="s">
        <v>1237</v>
      </c>
      <c r="C32" s="52" t="s">
        <v>1238</v>
      </c>
      <c r="D32" s="52" t="s">
        <v>467</v>
      </c>
      <c r="E32" s="52" t="s">
        <v>1337</v>
      </c>
      <c r="F32" s="52" t="s">
        <v>1338</v>
      </c>
      <c r="G32" s="52" t="s">
        <v>1339</v>
      </c>
      <c r="H32" s="66">
        <v>360000</v>
      </c>
      <c r="I32" s="52" t="s">
        <v>1340</v>
      </c>
      <c r="J32" s="52" t="s">
        <v>12</v>
      </c>
      <c r="K32" s="52" t="s">
        <v>13</v>
      </c>
      <c r="L32" s="6">
        <f t="shared" si="0"/>
        <v>6.216936290491519E-2</v>
      </c>
      <c r="M32" s="6">
        <v>6.25E-2</v>
      </c>
      <c r="N32" s="6">
        <f t="shared" si="1"/>
        <v>8.2500000000000004E-2</v>
      </c>
    </row>
    <row r="33" spans="1:14" x14ac:dyDescent="0.35">
      <c r="A33" s="52" t="s">
        <v>289</v>
      </c>
      <c r="B33" s="52" t="s">
        <v>1237</v>
      </c>
      <c r="C33" s="52" t="s">
        <v>1238</v>
      </c>
      <c r="D33" s="52" t="s">
        <v>467</v>
      </c>
      <c r="E33" s="52" t="s">
        <v>1341</v>
      </c>
      <c r="F33" s="52" t="s">
        <v>1342</v>
      </c>
      <c r="G33" s="52" t="s">
        <v>1343</v>
      </c>
      <c r="H33" s="66">
        <v>382000</v>
      </c>
      <c r="I33" s="52" t="s">
        <v>1344</v>
      </c>
      <c r="J33" s="52" t="s">
        <v>12</v>
      </c>
      <c r="K33" s="52" t="s">
        <v>13</v>
      </c>
      <c r="L33" s="6">
        <f t="shared" si="0"/>
        <v>6.062499132342121E-2</v>
      </c>
      <c r="M33" s="6">
        <v>0.06</v>
      </c>
      <c r="N33" s="6">
        <f t="shared" si="1"/>
        <v>0.08</v>
      </c>
    </row>
    <row r="34" spans="1:14" x14ac:dyDescent="0.35">
      <c r="A34" s="10" t="s">
        <v>289</v>
      </c>
      <c r="B34" s="10" t="s">
        <v>1237</v>
      </c>
      <c r="C34" s="10" t="s">
        <v>1238</v>
      </c>
      <c r="D34" s="10" t="s">
        <v>467</v>
      </c>
      <c r="E34" s="10" t="s">
        <v>1345</v>
      </c>
      <c r="F34" s="10" t="s">
        <v>1346</v>
      </c>
      <c r="G34" s="10" t="s">
        <v>1347</v>
      </c>
      <c r="H34" s="66">
        <v>382000</v>
      </c>
      <c r="I34" s="10" t="s">
        <v>1348</v>
      </c>
      <c r="J34" s="10" t="s">
        <v>12</v>
      </c>
      <c r="K34" s="10" t="s">
        <v>13</v>
      </c>
      <c r="L34" s="6">
        <f t="shared" si="0"/>
        <v>6.0368852914071264E-2</v>
      </c>
      <c r="M34" s="6">
        <v>0.06</v>
      </c>
      <c r="N34" s="6">
        <f t="shared" si="1"/>
        <v>0.08</v>
      </c>
    </row>
    <row r="35" spans="1:14" x14ac:dyDescent="0.35">
      <c r="A35" s="10" t="s">
        <v>668</v>
      </c>
      <c r="B35" s="10" t="s">
        <v>1237</v>
      </c>
      <c r="C35" s="10" t="s">
        <v>1238</v>
      </c>
      <c r="D35" s="10" t="s">
        <v>467</v>
      </c>
      <c r="E35" s="10" t="s">
        <v>1345</v>
      </c>
      <c r="F35" s="10" t="s">
        <v>1349</v>
      </c>
      <c r="G35" s="10" t="s">
        <v>1347</v>
      </c>
      <c r="H35" s="66">
        <v>382000</v>
      </c>
      <c r="I35" s="10" t="s">
        <v>1348</v>
      </c>
      <c r="J35" s="10" t="s">
        <v>12</v>
      </c>
      <c r="K35" s="10" t="s">
        <v>13</v>
      </c>
      <c r="L35" s="6">
        <f t="shared" si="0"/>
        <v>6.0368852914071264E-2</v>
      </c>
      <c r="M35" s="6">
        <v>0.06</v>
      </c>
      <c r="N35" s="6">
        <f t="shared" si="1"/>
        <v>0.08</v>
      </c>
    </row>
    <row r="36" spans="1:14" x14ac:dyDescent="0.35">
      <c r="A36" s="10" t="s">
        <v>289</v>
      </c>
      <c r="B36" s="10" t="s">
        <v>1237</v>
      </c>
      <c r="C36" s="10" t="s">
        <v>1238</v>
      </c>
      <c r="D36" s="10" t="s">
        <v>467</v>
      </c>
      <c r="E36" s="10" t="s">
        <v>1350</v>
      </c>
      <c r="F36" s="10" t="s">
        <v>1351</v>
      </c>
      <c r="G36" s="10" t="s">
        <v>1352</v>
      </c>
      <c r="H36" s="66">
        <v>437000</v>
      </c>
      <c r="I36" s="10" t="s">
        <v>1353</v>
      </c>
      <c r="J36" s="10" t="s">
        <v>12</v>
      </c>
      <c r="K36" s="10" t="s">
        <v>13</v>
      </c>
      <c r="L36" s="6">
        <f t="shared" si="0"/>
        <v>6.1171562544771969E-2</v>
      </c>
      <c r="M36" s="6">
        <v>0.06</v>
      </c>
      <c r="N36" s="6">
        <f t="shared" si="1"/>
        <v>0.08</v>
      </c>
    </row>
    <row r="37" spans="1:14" x14ac:dyDescent="0.35">
      <c r="A37" s="52" t="s">
        <v>289</v>
      </c>
      <c r="B37" s="52" t="s">
        <v>1237</v>
      </c>
      <c r="C37" s="52" t="s">
        <v>1238</v>
      </c>
      <c r="D37" s="52" t="s">
        <v>467</v>
      </c>
      <c r="E37" s="52" t="s">
        <v>1354</v>
      </c>
      <c r="F37" s="52" t="s">
        <v>1355</v>
      </c>
      <c r="G37" s="52" t="s">
        <v>1356</v>
      </c>
      <c r="H37" s="66">
        <v>445000</v>
      </c>
      <c r="I37" s="52" t="s">
        <v>1357</v>
      </c>
      <c r="J37" s="52" t="s">
        <v>12</v>
      </c>
      <c r="K37" s="52" t="s">
        <v>13</v>
      </c>
      <c r="L37" s="6">
        <f t="shared" si="0"/>
        <v>6.8974049153588748E-2</v>
      </c>
      <c r="M37" s="6">
        <v>7.0000000000000007E-2</v>
      </c>
      <c r="N37" s="6">
        <f t="shared" si="1"/>
        <v>9.0000000000000011E-2</v>
      </c>
    </row>
    <row r="38" spans="1:14" x14ac:dyDescent="0.35">
      <c r="A38" s="52" t="s">
        <v>289</v>
      </c>
      <c r="B38" s="52" t="s">
        <v>1237</v>
      </c>
      <c r="C38" s="52" t="s">
        <v>1238</v>
      </c>
      <c r="D38" s="52" t="s">
        <v>467</v>
      </c>
      <c r="E38" s="52" t="s">
        <v>1358</v>
      </c>
      <c r="F38" s="52" t="s">
        <v>1359</v>
      </c>
      <c r="G38" s="52" t="s">
        <v>1360</v>
      </c>
      <c r="H38" s="66">
        <v>450000</v>
      </c>
      <c r="I38" s="52" t="s">
        <v>1361</v>
      </c>
      <c r="J38" s="52" t="s">
        <v>12</v>
      </c>
      <c r="K38" s="52" t="s">
        <v>13</v>
      </c>
      <c r="L38" s="6">
        <f t="shared" si="0"/>
        <v>5.1239762092761397E-2</v>
      </c>
      <c r="M38" s="6">
        <v>0.05</v>
      </c>
      <c r="N38" s="6">
        <f t="shared" si="1"/>
        <v>7.0000000000000007E-2</v>
      </c>
    </row>
    <row r="39" spans="1:14" x14ac:dyDescent="0.35">
      <c r="A39" s="10" t="s">
        <v>551</v>
      </c>
      <c r="B39" s="10" t="s">
        <v>1237</v>
      </c>
      <c r="C39" s="10" t="s">
        <v>1238</v>
      </c>
      <c r="D39" s="10" t="s">
        <v>467</v>
      </c>
      <c r="E39" s="10" t="s">
        <v>1358</v>
      </c>
      <c r="F39" s="10" t="s">
        <v>1362</v>
      </c>
      <c r="G39" s="10" t="s">
        <v>1360</v>
      </c>
      <c r="H39" s="66">
        <v>450000</v>
      </c>
      <c r="I39" s="10" t="s">
        <v>1361</v>
      </c>
      <c r="J39" s="10" t="s">
        <v>12</v>
      </c>
      <c r="K39" s="10" t="s">
        <v>13</v>
      </c>
      <c r="L39" s="6">
        <f t="shared" si="0"/>
        <v>5.1239762092761397E-2</v>
      </c>
      <c r="M39" s="6">
        <v>0.05</v>
      </c>
      <c r="N39" s="6">
        <f t="shared" si="1"/>
        <v>7.0000000000000007E-2</v>
      </c>
    </row>
    <row r="40" spans="1:14" x14ac:dyDescent="0.35">
      <c r="A40" s="10" t="s">
        <v>16</v>
      </c>
      <c r="B40" s="10" t="s">
        <v>1237</v>
      </c>
      <c r="C40" s="10" t="s">
        <v>1238</v>
      </c>
      <c r="D40" s="10" t="s">
        <v>467</v>
      </c>
      <c r="E40" s="10" t="s">
        <v>1363</v>
      </c>
      <c r="F40" s="10" t="s">
        <v>1364</v>
      </c>
      <c r="G40" s="10" t="s">
        <v>1365</v>
      </c>
      <c r="H40" s="66">
        <v>450000</v>
      </c>
      <c r="I40" s="10" t="s">
        <v>1366</v>
      </c>
      <c r="J40" s="10" t="s">
        <v>12</v>
      </c>
      <c r="K40" s="10" t="s">
        <v>13</v>
      </c>
      <c r="L40" s="6">
        <f t="shared" si="0"/>
        <v>6.0687844281596126E-2</v>
      </c>
      <c r="M40" s="6">
        <v>0.06</v>
      </c>
      <c r="N40" s="6">
        <f t="shared" si="1"/>
        <v>0.08</v>
      </c>
    </row>
    <row r="41" spans="1:14" x14ac:dyDescent="0.35">
      <c r="A41" s="52" t="s">
        <v>289</v>
      </c>
      <c r="B41" s="52" t="s">
        <v>1237</v>
      </c>
      <c r="C41" s="52" t="s">
        <v>1238</v>
      </c>
      <c r="D41" s="52" t="s">
        <v>467</v>
      </c>
      <c r="E41" s="52" t="s">
        <v>1367</v>
      </c>
      <c r="F41" s="52" t="s">
        <v>1368</v>
      </c>
      <c r="G41" s="52" t="s">
        <v>1369</v>
      </c>
      <c r="H41" s="66">
        <v>460000</v>
      </c>
      <c r="I41" s="52" t="s">
        <v>1370</v>
      </c>
      <c r="J41" s="52" t="s">
        <v>12</v>
      </c>
      <c r="K41" s="52" t="s">
        <v>13</v>
      </c>
      <c r="L41" s="6">
        <f t="shared" si="0"/>
        <v>7.2613609601290874E-2</v>
      </c>
      <c r="M41" s="6">
        <v>7.2499999999999995E-2</v>
      </c>
      <c r="N41" s="6">
        <f t="shared" si="1"/>
        <v>9.2499999999999999E-2</v>
      </c>
    </row>
    <row r="42" spans="1:14" x14ac:dyDescent="0.35">
      <c r="A42" s="52" t="s">
        <v>18</v>
      </c>
      <c r="B42" s="52" t="s">
        <v>1237</v>
      </c>
      <c r="C42" s="52" t="s">
        <v>1238</v>
      </c>
      <c r="D42" s="52" t="s">
        <v>467</v>
      </c>
      <c r="E42" s="52" t="s">
        <v>1371</v>
      </c>
      <c r="F42" s="52" t="s">
        <v>1372</v>
      </c>
      <c r="G42" s="52" t="s">
        <v>1373</v>
      </c>
      <c r="H42" s="66">
        <v>470000</v>
      </c>
      <c r="I42" s="52" t="s">
        <v>1374</v>
      </c>
      <c r="J42" s="52" t="s">
        <v>12</v>
      </c>
      <c r="K42" s="52" t="s">
        <v>13</v>
      </c>
      <c r="L42" s="6">
        <f t="shared" si="0"/>
        <v>5.9529794203244869E-2</v>
      </c>
      <c r="M42" s="6">
        <v>0.06</v>
      </c>
      <c r="N42" s="6">
        <f t="shared" si="1"/>
        <v>0.08</v>
      </c>
    </row>
    <row r="43" spans="1:14" x14ac:dyDescent="0.35">
      <c r="A43" s="10" t="s">
        <v>14</v>
      </c>
      <c r="B43" s="10" t="s">
        <v>1237</v>
      </c>
      <c r="C43" s="10" t="s">
        <v>1238</v>
      </c>
      <c r="D43" s="10" t="s">
        <v>467</v>
      </c>
      <c r="E43" s="10" t="s">
        <v>1371</v>
      </c>
      <c r="F43" s="10" t="s">
        <v>1375</v>
      </c>
      <c r="G43" s="10" t="s">
        <v>1373</v>
      </c>
      <c r="H43" s="66">
        <v>470000</v>
      </c>
      <c r="I43" s="10" t="s">
        <v>1374</v>
      </c>
      <c r="J43" s="10" t="s">
        <v>12</v>
      </c>
      <c r="K43" s="10" t="s">
        <v>13</v>
      </c>
      <c r="L43" s="6">
        <f t="shared" si="0"/>
        <v>5.9529794203244869E-2</v>
      </c>
      <c r="M43" s="6">
        <v>0.06</v>
      </c>
      <c r="N43" s="6">
        <f t="shared" si="1"/>
        <v>0.08</v>
      </c>
    </row>
    <row r="44" spans="1:14" x14ac:dyDescent="0.35">
      <c r="A44" s="10" t="s">
        <v>289</v>
      </c>
      <c r="B44" s="10" t="s">
        <v>1237</v>
      </c>
      <c r="C44" s="10" t="s">
        <v>1238</v>
      </c>
      <c r="D44" s="10" t="s">
        <v>467</v>
      </c>
      <c r="E44" s="10" t="s">
        <v>1376</v>
      </c>
      <c r="F44" s="10" t="s">
        <v>1377</v>
      </c>
      <c r="G44" s="10" t="s">
        <v>1378</v>
      </c>
      <c r="H44" s="66">
        <v>480000</v>
      </c>
      <c r="I44" s="10" t="s">
        <v>1379</v>
      </c>
      <c r="J44" s="10" t="s">
        <v>12</v>
      </c>
      <c r="K44" s="10" t="s">
        <v>13</v>
      </c>
      <c r="L44" s="6">
        <f t="shared" si="0"/>
        <v>6.2308839737432668E-2</v>
      </c>
      <c r="M44" s="6">
        <v>0.06</v>
      </c>
      <c r="N44" s="6">
        <f t="shared" si="1"/>
        <v>0.08</v>
      </c>
    </row>
    <row r="45" spans="1:14" x14ac:dyDescent="0.35">
      <c r="A45" s="52" t="s">
        <v>15</v>
      </c>
      <c r="B45" s="52" t="s">
        <v>1237</v>
      </c>
      <c r="C45" s="52" t="s">
        <v>1238</v>
      </c>
      <c r="D45" s="52" t="s">
        <v>467</v>
      </c>
      <c r="E45" s="52" t="s">
        <v>1380</v>
      </c>
      <c r="F45" s="52" t="s">
        <v>1381</v>
      </c>
      <c r="G45" s="52" t="s">
        <v>1382</v>
      </c>
      <c r="H45" s="66">
        <v>520000</v>
      </c>
      <c r="I45" s="52" t="s">
        <v>1383</v>
      </c>
      <c r="J45" s="52" t="s">
        <v>12</v>
      </c>
      <c r="K45" s="52" t="s">
        <v>13</v>
      </c>
      <c r="L45" s="6">
        <f t="shared" si="0"/>
        <v>6.2673195294810066E-2</v>
      </c>
      <c r="M45" s="6">
        <v>0.06</v>
      </c>
      <c r="N45" s="6">
        <f t="shared" si="1"/>
        <v>0.08</v>
      </c>
    </row>
    <row r="46" spans="1:14" x14ac:dyDescent="0.35">
      <c r="A46" s="10" t="s">
        <v>289</v>
      </c>
      <c r="B46" s="10" t="s">
        <v>1237</v>
      </c>
      <c r="C46" s="10" t="s">
        <v>1238</v>
      </c>
      <c r="D46" s="10" t="s">
        <v>467</v>
      </c>
      <c r="E46" s="10" t="s">
        <v>1380</v>
      </c>
      <c r="F46" s="10" t="s">
        <v>1384</v>
      </c>
      <c r="G46" s="10" t="s">
        <v>1382</v>
      </c>
      <c r="H46" s="66">
        <v>520000</v>
      </c>
      <c r="I46" s="10" t="s">
        <v>1383</v>
      </c>
      <c r="J46" s="10" t="s">
        <v>12</v>
      </c>
      <c r="K46" s="10" t="s">
        <v>13</v>
      </c>
      <c r="L46" s="6">
        <f t="shared" si="0"/>
        <v>6.2673195294810066E-2</v>
      </c>
      <c r="M46" s="6">
        <v>0.06</v>
      </c>
      <c r="N46" s="6">
        <f t="shared" si="1"/>
        <v>0.08</v>
      </c>
    </row>
    <row r="47" spans="1:14" x14ac:dyDescent="0.35">
      <c r="A47" s="52" t="s">
        <v>289</v>
      </c>
      <c r="B47" s="52" t="s">
        <v>1237</v>
      </c>
      <c r="C47" s="52" t="s">
        <v>1238</v>
      </c>
      <c r="D47" s="52" t="s">
        <v>467</v>
      </c>
      <c r="E47" s="52" t="s">
        <v>1385</v>
      </c>
      <c r="F47" s="52" t="s">
        <v>1386</v>
      </c>
      <c r="G47" s="52" t="s">
        <v>1387</v>
      </c>
      <c r="H47" s="66">
        <v>535000</v>
      </c>
      <c r="I47" s="52" t="s">
        <v>1388</v>
      </c>
      <c r="J47" s="52" t="s">
        <v>12</v>
      </c>
      <c r="K47" s="52" t="s">
        <v>13</v>
      </c>
      <c r="L47" s="6">
        <f t="shared" si="0"/>
        <v>6.2739364660638522E-2</v>
      </c>
      <c r="M47" s="6">
        <v>0.06</v>
      </c>
      <c r="N47" s="6">
        <f t="shared" si="1"/>
        <v>0.08</v>
      </c>
    </row>
    <row r="48" spans="1:14" x14ac:dyDescent="0.35">
      <c r="A48" s="10" t="s">
        <v>17</v>
      </c>
      <c r="B48" s="10" t="s">
        <v>1237</v>
      </c>
      <c r="C48" s="10" t="s">
        <v>1238</v>
      </c>
      <c r="D48" s="10" t="s">
        <v>467</v>
      </c>
      <c r="E48" s="10" t="s">
        <v>1389</v>
      </c>
      <c r="F48" s="10" t="s">
        <v>1390</v>
      </c>
      <c r="G48" s="10" t="s">
        <v>1391</v>
      </c>
      <c r="H48" s="66">
        <v>560000</v>
      </c>
      <c r="I48" s="10" t="s">
        <v>1392</v>
      </c>
      <c r="J48" s="10" t="s">
        <v>12</v>
      </c>
      <c r="K48" s="10" t="s">
        <v>13</v>
      </c>
      <c r="L48" s="6">
        <f t="shared" si="0"/>
        <v>5.9939583443743706E-2</v>
      </c>
      <c r="M48" s="6">
        <v>0.06</v>
      </c>
      <c r="N48" s="6">
        <f t="shared" si="1"/>
        <v>0.08</v>
      </c>
    </row>
    <row r="49" spans="1:14" x14ac:dyDescent="0.35">
      <c r="A49" s="10" t="s">
        <v>289</v>
      </c>
      <c r="B49" s="10" t="s">
        <v>1237</v>
      </c>
      <c r="C49" s="10" t="s">
        <v>1238</v>
      </c>
      <c r="D49" s="10" t="s">
        <v>467</v>
      </c>
      <c r="E49" s="10" t="s">
        <v>1393</v>
      </c>
      <c r="F49" s="10" t="s">
        <v>1394</v>
      </c>
      <c r="G49" s="10" t="s">
        <v>1395</v>
      </c>
      <c r="H49" s="66">
        <f>(I49*106%)</f>
        <v>594168.16</v>
      </c>
      <c r="I49" s="10" t="s">
        <v>1396</v>
      </c>
      <c r="J49" s="10" t="s">
        <v>12</v>
      </c>
      <c r="K49" s="10" t="s">
        <v>13</v>
      </c>
      <c r="L49" s="6">
        <f t="shared" si="0"/>
        <v>6.000000000000006E-2</v>
      </c>
      <c r="M49" s="6">
        <v>0.06</v>
      </c>
      <c r="N49" s="6">
        <f t="shared" si="1"/>
        <v>0.08</v>
      </c>
    </row>
    <row r="50" spans="1:14" x14ac:dyDescent="0.35">
      <c r="A50" s="10" t="s">
        <v>18</v>
      </c>
      <c r="B50" s="10" t="s">
        <v>1237</v>
      </c>
      <c r="C50" s="10" t="s">
        <v>1238</v>
      </c>
      <c r="D50" s="10" t="s">
        <v>467</v>
      </c>
      <c r="E50" s="10" t="s">
        <v>1397</v>
      </c>
      <c r="F50" s="10" t="s">
        <v>1398</v>
      </c>
      <c r="G50" s="10" t="s">
        <v>1399</v>
      </c>
      <c r="H50" s="66">
        <v>625000</v>
      </c>
      <c r="I50" s="10" t="s">
        <v>1400</v>
      </c>
      <c r="J50" s="10" t="s">
        <v>12</v>
      </c>
      <c r="K50" s="10" t="s">
        <v>13</v>
      </c>
      <c r="L50" s="6">
        <f t="shared" si="0"/>
        <v>5.7005579298249766E-2</v>
      </c>
      <c r="M50" s="6">
        <v>0.06</v>
      </c>
      <c r="N50" s="6">
        <f t="shared" si="1"/>
        <v>0.08</v>
      </c>
    </row>
    <row r="51" spans="1:14" x14ac:dyDescent="0.35">
      <c r="A51" s="52" t="s">
        <v>14</v>
      </c>
      <c r="B51" s="52" t="s">
        <v>1237</v>
      </c>
      <c r="C51" s="52" t="s">
        <v>1238</v>
      </c>
      <c r="D51" s="52" t="s">
        <v>467</v>
      </c>
      <c r="E51" s="52" t="s">
        <v>1397</v>
      </c>
      <c r="F51" s="52" t="s">
        <v>1401</v>
      </c>
      <c r="G51" s="52" t="s">
        <v>1399</v>
      </c>
      <c r="H51" s="66">
        <v>625000</v>
      </c>
      <c r="I51" s="52" t="s">
        <v>1400</v>
      </c>
      <c r="J51" s="52" t="s">
        <v>12</v>
      </c>
      <c r="K51" s="52" t="s">
        <v>13</v>
      </c>
      <c r="L51" s="6">
        <f t="shared" si="0"/>
        <v>5.7005579298249766E-2</v>
      </c>
      <c r="M51" s="6">
        <v>0.06</v>
      </c>
      <c r="N51" s="6">
        <f t="shared" si="1"/>
        <v>0.08</v>
      </c>
    </row>
    <row r="52" spans="1:14" x14ac:dyDescent="0.35">
      <c r="A52" s="10" t="s">
        <v>289</v>
      </c>
      <c r="B52" s="10" t="s">
        <v>1237</v>
      </c>
      <c r="C52" s="10" t="s">
        <v>1238</v>
      </c>
      <c r="D52" s="10" t="s">
        <v>467</v>
      </c>
      <c r="E52" s="10" t="s">
        <v>1402</v>
      </c>
      <c r="F52" s="10" t="s">
        <v>1403</v>
      </c>
      <c r="G52" s="10" t="s">
        <v>1404</v>
      </c>
      <c r="H52" s="66">
        <v>637000</v>
      </c>
      <c r="I52" s="10" t="s">
        <v>1405</v>
      </c>
      <c r="J52" s="10" t="s">
        <v>12</v>
      </c>
      <c r="K52" s="10" t="s">
        <v>13</v>
      </c>
      <c r="L52" s="6">
        <f t="shared" si="0"/>
        <v>6.1183828024915329E-2</v>
      </c>
      <c r="M52" s="6">
        <v>0.06</v>
      </c>
      <c r="N52" s="6">
        <f t="shared" si="1"/>
        <v>0.08</v>
      </c>
    </row>
    <row r="53" spans="1:14" x14ac:dyDescent="0.35">
      <c r="A53" s="52" t="s">
        <v>289</v>
      </c>
      <c r="B53" s="52" t="s">
        <v>1237</v>
      </c>
      <c r="C53" s="52" t="s">
        <v>1238</v>
      </c>
      <c r="D53" s="52" t="s">
        <v>467</v>
      </c>
      <c r="E53" s="52" t="s">
        <v>1406</v>
      </c>
      <c r="F53" s="52" t="s">
        <v>1407</v>
      </c>
      <c r="G53" s="52" t="s">
        <v>1408</v>
      </c>
      <c r="H53" s="66">
        <v>685000</v>
      </c>
      <c r="I53" s="52" t="s">
        <v>1409</v>
      </c>
      <c r="J53" s="52" t="s">
        <v>12</v>
      </c>
      <c r="K53" s="52" t="s">
        <v>13</v>
      </c>
      <c r="L53" s="6">
        <f t="shared" si="0"/>
        <v>6.5496124549497353E-2</v>
      </c>
      <c r="M53" s="6">
        <v>6.5000000000000002E-2</v>
      </c>
      <c r="N53" s="6">
        <f t="shared" si="1"/>
        <v>8.5000000000000006E-2</v>
      </c>
    </row>
    <row r="54" spans="1:14" x14ac:dyDescent="0.35">
      <c r="A54" s="52" t="s">
        <v>289</v>
      </c>
      <c r="B54" s="52" t="s">
        <v>1237</v>
      </c>
      <c r="C54" s="52" t="s">
        <v>1238</v>
      </c>
      <c r="D54" s="52" t="s">
        <v>467</v>
      </c>
      <c r="E54" s="52" t="s">
        <v>1410</v>
      </c>
      <c r="F54" s="52" t="s">
        <v>1411</v>
      </c>
      <c r="G54" s="52" t="s">
        <v>1412</v>
      </c>
      <c r="H54" s="66">
        <v>693000</v>
      </c>
      <c r="I54" s="52" t="s">
        <v>1413</v>
      </c>
      <c r="J54" s="52" t="s">
        <v>12</v>
      </c>
      <c r="K54" s="52" t="s">
        <v>13</v>
      </c>
      <c r="L54" s="6">
        <f t="shared" si="0"/>
        <v>6.217966010250877E-2</v>
      </c>
      <c r="M54" s="6">
        <v>0.06</v>
      </c>
      <c r="N54" s="6">
        <f t="shared" si="1"/>
        <v>0.08</v>
      </c>
    </row>
    <row r="55" spans="1:14" x14ac:dyDescent="0.35">
      <c r="A55" s="52" t="s">
        <v>668</v>
      </c>
      <c r="B55" s="52" t="s">
        <v>1237</v>
      </c>
      <c r="C55" s="52" t="s">
        <v>1238</v>
      </c>
      <c r="D55" s="52" t="s">
        <v>467</v>
      </c>
      <c r="E55" s="52" t="s">
        <v>1410</v>
      </c>
      <c r="F55" s="52" t="s">
        <v>1414</v>
      </c>
      <c r="G55" s="52" t="s">
        <v>1412</v>
      </c>
      <c r="H55" s="66">
        <v>693000</v>
      </c>
      <c r="I55" s="52" t="s">
        <v>1413</v>
      </c>
      <c r="J55" s="52" t="s">
        <v>12</v>
      </c>
      <c r="K55" s="52" t="s">
        <v>13</v>
      </c>
      <c r="L55" s="6">
        <f t="shared" si="0"/>
        <v>6.217966010250877E-2</v>
      </c>
      <c r="M55" s="6">
        <v>0.06</v>
      </c>
      <c r="N55" s="6">
        <f t="shared" si="1"/>
        <v>0.08</v>
      </c>
    </row>
    <row r="56" spans="1:14" x14ac:dyDescent="0.35">
      <c r="A56" s="52" t="s">
        <v>289</v>
      </c>
      <c r="B56" s="52" t="s">
        <v>1237</v>
      </c>
      <c r="C56" s="52" t="s">
        <v>1238</v>
      </c>
      <c r="D56" s="52" t="s">
        <v>467</v>
      </c>
      <c r="E56" s="52" t="s">
        <v>1415</v>
      </c>
      <c r="F56" s="52" t="s">
        <v>1416</v>
      </c>
      <c r="G56" s="52" t="s">
        <v>1417</v>
      </c>
      <c r="H56" s="66">
        <v>720000</v>
      </c>
      <c r="I56" s="52" t="s">
        <v>1418</v>
      </c>
      <c r="J56" s="52" t="s">
        <v>12</v>
      </c>
      <c r="K56" s="52" t="s">
        <v>13</v>
      </c>
      <c r="L56" s="6">
        <f t="shared" si="0"/>
        <v>6.2451488760148624E-2</v>
      </c>
      <c r="M56" s="6">
        <v>6.2451488760148624E-2</v>
      </c>
      <c r="N56" s="6">
        <f t="shared" si="1"/>
        <v>8.2451488760148628E-2</v>
      </c>
    </row>
    <row r="57" spans="1:14" x14ac:dyDescent="0.35">
      <c r="A57" s="52" t="s">
        <v>18</v>
      </c>
      <c r="B57" s="52" t="s">
        <v>1237</v>
      </c>
      <c r="C57" s="52" t="s">
        <v>1238</v>
      </c>
      <c r="D57" s="52" t="s">
        <v>467</v>
      </c>
      <c r="E57" s="52" t="s">
        <v>1419</v>
      </c>
      <c r="F57" s="52" t="s">
        <v>1420</v>
      </c>
      <c r="G57" s="52" t="s">
        <v>1421</v>
      </c>
      <c r="H57" s="66">
        <v>780000</v>
      </c>
      <c r="I57" s="52" t="s">
        <v>1422</v>
      </c>
      <c r="J57" s="52" t="s">
        <v>12</v>
      </c>
      <c r="K57" s="52" t="s">
        <v>13</v>
      </c>
      <c r="L57" s="6">
        <f t="shared" si="0"/>
        <v>5.5297593921485859E-2</v>
      </c>
      <c r="M57" s="6">
        <v>5.5E-2</v>
      </c>
      <c r="N57" s="6">
        <f t="shared" si="1"/>
        <v>7.4999999999999997E-2</v>
      </c>
    </row>
    <row r="58" spans="1:14" x14ac:dyDescent="0.35">
      <c r="A58" s="10" t="s">
        <v>14</v>
      </c>
      <c r="B58" s="10" t="s">
        <v>1237</v>
      </c>
      <c r="C58" s="10" t="s">
        <v>1238</v>
      </c>
      <c r="D58" s="10" t="s">
        <v>467</v>
      </c>
      <c r="E58" s="10" t="s">
        <v>1419</v>
      </c>
      <c r="F58" s="10" t="s">
        <v>1423</v>
      </c>
      <c r="G58" s="10" t="s">
        <v>1421</v>
      </c>
      <c r="H58" s="66">
        <v>780000</v>
      </c>
      <c r="I58" s="10" t="s">
        <v>1422</v>
      </c>
      <c r="J58" s="10" t="s">
        <v>12</v>
      </c>
      <c r="K58" s="10" t="s">
        <v>13</v>
      </c>
      <c r="L58" s="6">
        <f t="shared" si="0"/>
        <v>5.5297593921485859E-2</v>
      </c>
      <c r="M58" s="6">
        <v>5.5E-2</v>
      </c>
      <c r="N58" s="6">
        <f t="shared" si="1"/>
        <v>7.4999999999999997E-2</v>
      </c>
    </row>
    <row r="59" spans="1:14" x14ac:dyDescent="0.35">
      <c r="A59" s="10" t="s">
        <v>289</v>
      </c>
      <c r="B59" s="10" t="s">
        <v>1237</v>
      </c>
      <c r="C59" s="10" t="s">
        <v>1238</v>
      </c>
      <c r="D59" s="10" t="s">
        <v>467</v>
      </c>
      <c r="E59" s="10" t="s">
        <v>1424</v>
      </c>
      <c r="F59" s="10" t="s">
        <v>1425</v>
      </c>
      <c r="G59" s="10" t="s">
        <v>1426</v>
      </c>
      <c r="H59" s="66">
        <v>825000</v>
      </c>
      <c r="I59" s="10" t="s">
        <v>1427</v>
      </c>
      <c r="J59" s="10" t="s">
        <v>12</v>
      </c>
      <c r="K59" s="10" t="s">
        <v>13</v>
      </c>
      <c r="L59" s="6">
        <f t="shared" si="0"/>
        <v>6.2369457328803994E-2</v>
      </c>
      <c r="M59" s="6">
        <v>5.5E-2</v>
      </c>
      <c r="N59" s="6">
        <f t="shared" si="1"/>
        <v>7.4999999999999997E-2</v>
      </c>
    </row>
    <row r="60" spans="1:14" x14ac:dyDescent="0.35">
      <c r="A60" s="52" t="s">
        <v>551</v>
      </c>
      <c r="B60" s="52" t="s">
        <v>1237</v>
      </c>
      <c r="C60" s="52" t="s">
        <v>1238</v>
      </c>
      <c r="D60" s="52" t="s">
        <v>467</v>
      </c>
      <c r="E60" s="52" t="s">
        <v>1424</v>
      </c>
      <c r="F60" s="52" t="s">
        <v>1428</v>
      </c>
      <c r="G60" s="52" t="s">
        <v>1426</v>
      </c>
      <c r="H60" s="66">
        <v>825000</v>
      </c>
      <c r="I60" s="52" t="s">
        <v>1427</v>
      </c>
      <c r="J60" s="52" t="s">
        <v>12</v>
      </c>
      <c r="K60" s="52" t="s">
        <v>13</v>
      </c>
      <c r="L60" s="6">
        <f t="shared" si="0"/>
        <v>6.2369457328803994E-2</v>
      </c>
      <c r="M60" s="6">
        <v>5.5E-2</v>
      </c>
      <c r="N60" s="6">
        <f t="shared" si="1"/>
        <v>7.4999999999999997E-2</v>
      </c>
    </row>
    <row r="61" spans="1:14" x14ac:dyDescent="0.35">
      <c r="A61" s="10" t="s">
        <v>16</v>
      </c>
      <c r="B61" s="10" t="s">
        <v>1237</v>
      </c>
      <c r="C61" s="10" t="s">
        <v>1238</v>
      </c>
      <c r="D61" s="10" t="s">
        <v>467</v>
      </c>
      <c r="E61" s="10" t="s">
        <v>1429</v>
      </c>
      <c r="F61" s="10" t="s">
        <v>1430</v>
      </c>
      <c r="G61" s="10" t="s">
        <v>1431</v>
      </c>
      <c r="H61" s="66">
        <v>880000</v>
      </c>
      <c r="I61" s="10" t="s">
        <v>1432</v>
      </c>
      <c r="J61" s="10" t="s">
        <v>12</v>
      </c>
      <c r="K61" s="10" t="s">
        <v>13</v>
      </c>
      <c r="L61" s="6">
        <f t="shared" si="0"/>
        <v>5.9623063177616904E-2</v>
      </c>
      <c r="M61" s="6">
        <v>5.5E-2</v>
      </c>
      <c r="N61" s="6">
        <f t="shared" si="1"/>
        <v>7.4999999999999997E-2</v>
      </c>
    </row>
    <row r="62" spans="1:14" x14ac:dyDescent="0.35">
      <c r="A62" s="10" t="s">
        <v>16</v>
      </c>
      <c r="B62" s="10" t="s">
        <v>1237</v>
      </c>
      <c r="C62" s="10" t="s">
        <v>1238</v>
      </c>
      <c r="D62" s="10" t="s">
        <v>467</v>
      </c>
      <c r="E62" s="10" t="s">
        <v>1429</v>
      </c>
      <c r="F62" s="10" t="s">
        <v>1433</v>
      </c>
      <c r="G62" s="10" t="s">
        <v>1431</v>
      </c>
      <c r="H62" s="66">
        <v>900000</v>
      </c>
      <c r="I62" s="10" t="s">
        <v>1434</v>
      </c>
      <c r="J62" s="10" t="s">
        <v>12</v>
      </c>
      <c r="K62" s="10" t="s">
        <v>13</v>
      </c>
      <c r="L62" s="6">
        <f t="shared" si="0"/>
        <v>6.068909434829494E-2</v>
      </c>
      <c r="M62" s="6">
        <v>5.5E-2</v>
      </c>
      <c r="N62" s="6">
        <f t="shared" si="1"/>
        <v>7.4999999999999997E-2</v>
      </c>
    </row>
    <row r="63" spans="1:14" x14ac:dyDescent="0.35">
      <c r="A63" s="10" t="s">
        <v>15</v>
      </c>
      <c r="B63" s="10" t="s">
        <v>1237</v>
      </c>
      <c r="C63" s="10" t="s">
        <v>1238</v>
      </c>
      <c r="D63" s="10" t="s">
        <v>467</v>
      </c>
      <c r="E63" s="10" t="s">
        <v>1435</v>
      </c>
      <c r="F63" s="10" t="s">
        <v>1436</v>
      </c>
      <c r="G63" s="10" t="s">
        <v>1437</v>
      </c>
      <c r="H63" s="66">
        <v>900000</v>
      </c>
      <c r="I63" s="10" t="s">
        <v>1438</v>
      </c>
      <c r="J63" s="10" t="s">
        <v>12</v>
      </c>
      <c r="K63" s="10" t="s">
        <v>13</v>
      </c>
      <c r="L63" s="6">
        <f t="shared" si="0"/>
        <v>5.9839728681029457E-2</v>
      </c>
      <c r="M63" s="6">
        <v>5.5E-2</v>
      </c>
      <c r="N63" s="6">
        <f t="shared" si="1"/>
        <v>7.4999999999999997E-2</v>
      </c>
    </row>
    <row r="64" spans="1:14" x14ac:dyDescent="0.35">
      <c r="A64" s="52" t="s">
        <v>289</v>
      </c>
      <c r="B64" s="52" t="s">
        <v>1237</v>
      </c>
      <c r="C64" s="52" t="s">
        <v>1238</v>
      </c>
      <c r="D64" s="52" t="s">
        <v>467</v>
      </c>
      <c r="E64" s="52" t="s">
        <v>1435</v>
      </c>
      <c r="F64" s="52" t="s">
        <v>1439</v>
      </c>
      <c r="G64" s="52" t="s">
        <v>1437</v>
      </c>
      <c r="H64" s="66">
        <v>900000</v>
      </c>
      <c r="I64" s="52" t="s">
        <v>1438</v>
      </c>
      <c r="J64" s="52" t="s">
        <v>12</v>
      </c>
      <c r="K64" s="52" t="s">
        <v>13</v>
      </c>
      <c r="L64" s="6">
        <f t="shared" si="0"/>
        <v>5.9839728681029457E-2</v>
      </c>
      <c r="M64" s="6">
        <v>5.5E-2</v>
      </c>
      <c r="N64" s="6">
        <f t="shared" si="1"/>
        <v>7.4999999999999997E-2</v>
      </c>
    </row>
    <row r="65" spans="1:14" x14ac:dyDescent="0.35">
      <c r="A65" s="52" t="s">
        <v>289</v>
      </c>
      <c r="B65" s="52" t="s">
        <v>1237</v>
      </c>
      <c r="C65" s="52" t="s">
        <v>1238</v>
      </c>
      <c r="D65" s="52" t="s">
        <v>467</v>
      </c>
      <c r="E65" s="52" t="s">
        <v>1440</v>
      </c>
      <c r="F65" s="52" t="s">
        <v>1441</v>
      </c>
      <c r="G65" s="52" t="s">
        <v>1442</v>
      </c>
      <c r="H65" s="66">
        <v>907000</v>
      </c>
      <c r="I65" s="52" t="s">
        <v>1443</v>
      </c>
      <c r="J65" s="52" t="s">
        <v>12</v>
      </c>
      <c r="K65" s="52" t="s">
        <v>13</v>
      </c>
      <c r="L65" s="6">
        <f t="shared" si="0"/>
        <v>6.0240851185201984E-2</v>
      </c>
      <c r="M65" s="6">
        <v>5.5E-2</v>
      </c>
      <c r="N65" s="6">
        <f t="shared" si="1"/>
        <v>7.4999999999999997E-2</v>
      </c>
    </row>
    <row r="66" spans="1:14" x14ac:dyDescent="0.35">
      <c r="A66" s="52" t="s">
        <v>289</v>
      </c>
      <c r="B66" s="52" t="s">
        <v>1237</v>
      </c>
      <c r="C66" s="52" t="s">
        <v>1238</v>
      </c>
      <c r="D66" s="52" t="s">
        <v>467</v>
      </c>
      <c r="E66" s="52" t="s">
        <v>1444</v>
      </c>
      <c r="F66" s="52" t="s">
        <v>1445</v>
      </c>
      <c r="G66" s="52" t="s">
        <v>1446</v>
      </c>
      <c r="H66" s="66">
        <v>910000</v>
      </c>
      <c r="I66" s="52" t="s">
        <v>1447</v>
      </c>
      <c r="J66" s="52" t="s">
        <v>12</v>
      </c>
      <c r="K66" s="52" t="s">
        <v>13</v>
      </c>
      <c r="L66" s="6">
        <f t="shared" ref="L66:L127" si="2">(H66-I66)/I66</f>
        <v>6.2921445433000323E-2</v>
      </c>
      <c r="M66" s="6">
        <v>5.5E-2</v>
      </c>
      <c r="N66" s="6">
        <f t="shared" si="1"/>
        <v>7.4999999999999997E-2</v>
      </c>
    </row>
    <row r="67" spans="1:14" x14ac:dyDescent="0.35">
      <c r="A67" s="10" t="s">
        <v>551</v>
      </c>
      <c r="B67" s="10" t="s">
        <v>1237</v>
      </c>
      <c r="C67" s="10" t="s">
        <v>1238</v>
      </c>
      <c r="D67" s="10" t="s">
        <v>467</v>
      </c>
      <c r="E67" s="10" t="s">
        <v>1444</v>
      </c>
      <c r="F67" s="10" t="s">
        <v>1448</v>
      </c>
      <c r="G67" s="10" t="s">
        <v>1446</v>
      </c>
      <c r="H67" s="66">
        <v>910000</v>
      </c>
      <c r="I67" s="10" t="s">
        <v>1447</v>
      </c>
      <c r="J67" s="10" t="s">
        <v>12</v>
      </c>
      <c r="K67" s="10" t="s">
        <v>13</v>
      </c>
      <c r="L67" s="6">
        <f t="shared" si="2"/>
        <v>6.2921445433000323E-2</v>
      </c>
      <c r="M67" s="6">
        <v>5.5E-2</v>
      </c>
      <c r="N67" s="6">
        <f t="shared" ref="N67:N127" si="3">M67+2%</f>
        <v>7.4999999999999997E-2</v>
      </c>
    </row>
    <row r="68" spans="1:14" x14ac:dyDescent="0.35">
      <c r="A68" s="10" t="s">
        <v>289</v>
      </c>
      <c r="B68" s="10" t="s">
        <v>1237</v>
      </c>
      <c r="C68" s="10" t="s">
        <v>1238</v>
      </c>
      <c r="D68" s="10" t="s">
        <v>467</v>
      </c>
      <c r="E68" s="10" t="s">
        <v>1449</v>
      </c>
      <c r="F68" s="10" t="s">
        <v>1450</v>
      </c>
      <c r="G68" s="10" t="s">
        <v>1451</v>
      </c>
      <c r="H68" s="66">
        <v>920000</v>
      </c>
      <c r="I68" s="10" t="s">
        <v>1452</v>
      </c>
      <c r="J68" s="10" t="s">
        <v>12</v>
      </c>
      <c r="K68" s="10" t="s">
        <v>13</v>
      </c>
      <c r="L68" s="6">
        <f t="shared" si="2"/>
        <v>6.4206344983308156E-2</v>
      </c>
      <c r="M68" s="6">
        <v>5.5E-2</v>
      </c>
      <c r="N68" s="6">
        <f t="shared" si="3"/>
        <v>7.4999999999999997E-2</v>
      </c>
    </row>
    <row r="69" spans="1:14" x14ac:dyDescent="0.35">
      <c r="A69" s="52" t="s">
        <v>1453</v>
      </c>
      <c r="B69" s="52" t="s">
        <v>1237</v>
      </c>
      <c r="C69" s="52" t="s">
        <v>1238</v>
      </c>
      <c r="D69" s="52" t="s">
        <v>467</v>
      </c>
      <c r="E69" s="52" t="s">
        <v>1449</v>
      </c>
      <c r="F69" s="52" t="s">
        <v>1454</v>
      </c>
      <c r="G69" s="52" t="s">
        <v>1451</v>
      </c>
      <c r="H69" s="66">
        <v>920000</v>
      </c>
      <c r="I69" s="52" t="s">
        <v>1452</v>
      </c>
      <c r="J69" s="52" t="s">
        <v>12</v>
      </c>
      <c r="K69" s="52" t="s">
        <v>13</v>
      </c>
      <c r="L69" s="6">
        <f t="shared" si="2"/>
        <v>6.4206344983308156E-2</v>
      </c>
      <c r="M69" s="6">
        <v>5.5E-2</v>
      </c>
      <c r="N69" s="6">
        <f t="shared" si="3"/>
        <v>7.4999999999999997E-2</v>
      </c>
    </row>
    <row r="70" spans="1:14" x14ac:dyDescent="0.35">
      <c r="A70" s="10" t="s">
        <v>668</v>
      </c>
      <c r="B70" s="10" t="s">
        <v>1237</v>
      </c>
      <c r="C70" s="10" t="s">
        <v>1238</v>
      </c>
      <c r="D70" s="10" t="s">
        <v>467</v>
      </c>
      <c r="E70" s="10" t="s">
        <v>1455</v>
      </c>
      <c r="F70" s="10" t="s">
        <v>1456</v>
      </c>
      <c r="G70" s="10" t="s">
        <v>1457</v>
      </c>
      <c r="H70" s="66">
        <v>935000</v>
      </c>
      <c r="I70" s="10" t="s">
        <v>1458</v>
      </c>
      <c r="J70" s="10" t="s">
        <v>12</v>
      </c>
      <c r="K70" s="10" t="s">
        <v>13</v>
      </c>
      <c r="L70" s="6">
        <f t="shared" si="2"/>
        <v>6.2640075282650892E-2</v>
      </c>
      <c r="M70" s="6">
        <v>5.5E-2</v>
      </c>
      <c r="N70" s="6">
        <f t="shared" si="3"/>
        <v>7.4999999999999997E-2</v>
      </c>
    </row>
    <row r="71" spans="1:14" x14ac:dyDescent="0.35">
      <c r="A71" s="52" t="s">
        <v>289</v>
      </c>
      <c r="B71" s="52" t="s">
        <v>1237</v>
      </c>
      <c r="C71" s="52" t="s">
        <v>1238</v>
      </c>
      <c r="D71" s="52" t="s">
        <v>467</v>
      </c>
      <c r="E71" s="52" t="s">
        <v>1459</v>
      </c>
      <c r="F71" s="52" t="s">
        <v>1460</v>
      </c>
      <c r="G71" s="52" t="s">
        <v>1461</v>
      </c>
      <c r="H71" s="66">
        <v>990000</v>
      </c>
      <c r="I71" s="52" t="s">
        <v>1462</v>
      </c>
      <c r="J71" s="52" t="s">
        <v>12</v>
      </c>
      <c r="K71" s="52" t="s">
        <v>13</v>
      </c>
      <c r="L71" s="6">
        <f t="shared" si="2"/>
        <v>5.9699623324952072E-2</v>
      </c>
      <c r="M71" s="6">
        <v>5.5E-2</v>
      </c>
      <c r="N71" s="6">
        <f t="shared" si="3"/>
        <v>7.4999999999999997E-2</v>
      </c>
    </row>
    <row r="72" spans="1:14" x14ac:dyDescent="0.35">
      <c r="A72" s="52" t="s">
        <v>15</v>
      </c>
      <c r="B72" s="52" t="s">
        <v>1237</v>
      </c>
      <c r="C72" s="52" t="s">
        <v>1238</v>
      </c>
      <c r="D72" s="52" t="s">
        <v>467</v>
      </c>
      <c r="E72" s="52" t="s">
        <v>1463</v>
      </c>
      <c r="F72" s="52" t="s">
        <v>1464</v>
      </c>
      <c r="G72" s="52" t="s">
        <v>1465</v>
      </c>
      <c r="H72" s="66">
        <v>1030000</v>
      </c>
      <c r="I72" s="52" t="s">
        <v>1466</v>
      </c>
      <c r="J72" s="52" t="s">
        <v>12</v>
      </c>
      <c r="K72" s="52" t="s">
        <v>13</v>
      </c>
      <c r="L72" s="6">
        <f t="shared" si="2"/>
        <v>5.9299155337479342E-2</v>
      </c>
      <c r="M72" s="6">
        <v>5.5E-2</v>
      </c>
      <c r="N72" s="6">
        <f t="shared" si="3"/>
        <v>7.4999999999999997E-2</v>
      </c>
    </row>
    <row r="73" spans="1:14" x14ac:dyDescent="0.35">
      <c r="A73" s="10" t="s">
        <v>289</v>
      </c>
      <c r="B73" s="10" t="s">
        <v>1237</v>
      </c>
      <c r="C73" s="10" t="s">
        <v>1238</v>
      </c>
      <c r="D73" s="10" t="s">
        <v>467</v>
      </c>
      <c r="E73" s="10" t="s">
        <v>1463</v>
      </c>
      <c r="F73" s="10" t="s">
        <v>1467</v>
      </c>
      <c r="G73" s="10" t="s">
        <v>1465</v>
      </c>
      <c r="H73" s="66">
        <v>1030000</v>
      </c>
      <c r="I73" s="10" t="s">
        <v>1466</v>
      </c>
      <c r="J73" s="10" t="s">
        <v>12</v>
      </c>
      <c r="K73" s="10" t="s">
        <v>13</v>
      </c>
      <c r="L73" s="6">
        <f t="shared" si="2"/>
        <v>5.9299155337479342E-2</v>
      </c>
      <c r="M73" s="6">
        <v>5.5E-2</v>
      </c>
      <c r="N73" s="6">
        <f t="shared" si="3"/>
        <v>7.4999999999999997E-2</v>
      </c>
    </row>
    <row r="74" spans="1:14" x14ac:dyDescent="0.35">
      <c r="A74" s="10" t="s">
        <v>289</v>
      </c>
      <c r="B74" s="10" t="s">
        <v>1237</v>
      </c>
      <c r="C74" s="10" t="s">
        <v>1238</v>
      </c>
      <c r="D74" s="10" t="s">
        <v>467</v>
      </c>
      <c r="E74" s="10" t="s">
        <v>1468</v>
      </c>
      <c r="F74" s="10" t="s">
        <v>1469</v>
      </c>
      <c r="G74" s="10" t="s">
        <v>1470</v>
      </c>
      <c r="H74" s="66">
        <v>1090000</v>
      </c>
      <c r="I74" s="10" t="s">
        <v>1471</v>
      </c>
      <c r="J74" s="10" t="s">
        <v>12</v>
      </c>
      <c r="K74" s="10" t="s">
        <v>13</v>
      </c>
      <c r="L74" s="6">
        <f t="shared" si="2"/>
        <v>6.1511163396757815E-2</v>
      </c>
      <c r="M74" s="6">
        <v>5.5E-2</v>
      </c>
      <c r="N74" s="6">
        <f t="shared" si="3"/>
        <v>7.4999999999999997E-2</v>
      </c>
    </row>
    <row r="75" spans="1:14" x14ac:dyDescent="0.35">
      <c r="A75" s="10" t="s">
        <v>16</v>
      </c>
      <c r="B75" s="10" t="s">
        <v>1237</v>
      </c>
      <c r="C75" s="10" t="s">
        <v>1238</v>
      </c>
      <c r="D75" s="10" t="s">
        <v>467</v>
      </c>
      <c r="E75" s="10" t="s">
        <v>1472</v>
      </c>
      <c r="F75" s="10" t="s">
        <v>1473</v>
      </c>
      <c r="G75" s="10" t="s">
        <v>1474</v>
      </c>
      <c r="H75" s="66">
        <v>1100000</v>
      </c>
      <c r="I75" s="10" t="s">
        <v>1475</v>
      </c>
      <c r="J75" s="10" t="s">
        <v>12</v>
      </c>
      <c r="K75" s="10" t="s">
        <v>13</v>
      </c>
      <c r="L75" s="6">
        <f t="shared" si="2"/>
        <v>6.040449611506353E-2</v>
      </c>
      <c r="M75" s="6">
        <v>5.5E-2</v>
      </c>
      <c r="N75" s="6">
        <f t="shared" si="3"/>
        <v>7.4999999999999997E-2</v>
      </c>
    </row>
    <row r="76" spans="1:14" x14ac:dyDescent="0.35">
      <c r="A76" s="10" t="s">
        <v>289</v>
      </c>
      <c r="B76" s="10" t="s">
        <v>1237</v>
      </c>
      <c r="C76" s="10" t="s">
        <v>1238</v>
      </c>
      <c r="D76" s="10" t="s">
        <v>467</v>
      </c>
      <c r="E76" s="10" t="s">
        <v>1476</v>
      </c>
      <c r="F76" s="10" t="s">
        <v>1477</v>
      </c>
      <c r="G76" s="10" t="s">
        <v>1478</v>
      </c>
      <c r="H76" s="66">
        <v>1105000</v>
      </c>
      <c r="I76" s="10" t="s">
        <v>1479</v>
      </c>
      <c r="J76" s="10" t="s">
        <v>12</v>
      </c>
      <c r="K76" s="10" t="s">
        <v>13</v>
      </c>
      <c r="L76" s="6">
        <f t="shared" si="2"/>
        <v>6.1771053334537633E-2</v>
      </c>
      <c r="M76" s="6">
        <v>5.5E-2</v>
      </c>
      <c r="N76" s="6">
        <f t="shared" si="3"/>
        <v>7.4999999999999997E-2</v>
      </c>
    </row>
    <row r="77" spans="1:14" x14ac:dyDescent="0.35">
      <c r="A77" s="52" t="s">
        <v>289</v>
      </c>
      <c r="B77" s="52" t="s">
        <v>1237</v>
      </c>
      <c r="C77" s="52" t="s">
        <v>1238</v>
      </c>
      <c r="D77" s="52" t="s">
        <v>467</v>
      </c>
      <c r="E77" s="52" t="s">
        <v>1480</v>
      </c>
      <c r="F77" s="52" t="s">
        <v>1481</v>
      </c>
      <c r="G77" s="52" t="s">
        <v>1482</v>
      </c>
      <c r="H77" s="66">
        <v>1120000</v>
      </c>
      <c r="I77" s="52" t="s">
        <v>1483</v>
      </c>
      <c r="J77" s="52" t="s">
        <v>12</v>
      </c>
      <c r="K77" s="52" t="s">
        <v>13</v>
      </c>
      <c r="L77" s="6">
        <f t="shared" si="2"/>
        <v>5.9504416809037571E-2</v>
      </c>
      <c r="M77" s="6">
        <v>5.5E-2</v>
      </c>
      <c r="N77" s="6">
        <f t="shared" si="3"/>
        <v>7.4999999999999997E-2</v>
      </c>
    </row>
    <row r="78" spans="1:14" x14ac:dyDescent="0.35">
      <c r="A78" s="52" t="s">
        <v>668</v>
      </c>
      <c r="B78" s="52" t="s">
        <v>1237</v>
      </c>
      <c r="C78" s="52" t="s">
        <v>1238</v>
      </c>
      <c r="D78" s="52" t="s">
        <v>467</v>
      </c>
      <c r="E78" s="52" t="s">
        <v>1480</v>
      </c>
      <c r="F78" s="52" t="s">
        <v>1484</v>
      </c>
      <c r="G78" s="52" t="s">
        <v>1482</v>
      </c>
      <c r="H78" s="66">
        <v>1120000</v>
      </c>
      <c r="I78" s="52" t="s">
        <v>1483</v>
      </c>
      <c r="J78" s="52" t="s">
        <v>12</v>
      </c>
      <c r="K78" s="52" t="s">
        <v>13</v>
      </c>
      <c r="L78" s="6">
        <f t="shared" si="2"/>
        <v>5.9504416809037571E-2</v>
      </c>
      <c r="M78" s="6">
        <v>5.5E-2</v>
      </c>
      <c r="N78" s="6">
        <f t="shared" si="3"/>
        <v>7.4999999999999997E-2</v>
      </c>
    </row>
    <row r="79" spans="1:14" x14ac:dyDescent="0.35">
      <c r="A79" s="52" t="s">
        <v>16</v>
      </c>
      <c r="B79" s="52" t="s">
        <v>1237</v>
      </c>
      <c r="C79" s="52" t="s">
        <v>1238</v>
      </c>
      <c r="D79" s="52" t="s">
        <v>467</v>
      </c>
      <c r="E79" s="52" t="s">
        <v>1472</v>
      </c>
      <c r="F79" s="52" t="s">
        <v>1485</v>
      </c>
      <c r="G79" s="52" t="s">
        <v>1474</v>
      </c>
      <c r="H79" s="66">
        <v>1125000</v>
      </c>
      <c r="I79" s="52" t="s">
        <v>1486</v>
      </c>
      <c r="J79" s="52" t="s">
        <v>12</v>
      </c>
      <c r="K79" s="52" t="s">
        <v>13</v>
      </c>
      <c r="L79" s="6">
        <f t="shared" si="2"/>
        <v>6.0689344361988286E-2</v>
      </c>
      <c r="M79" s="6">
        <v>5.5E-2</v>
      </c>
      <c r="N79" s="6">
        <f t="shared" si="3"/>
        <v>7.4999999999999997E-2</v>
      </c>
    </row>
    <row r="80" spans="1:14" x14ac:dyDescent="0.35">
      <c r="A80" s="52" t="s">
        <v>289</v>
      </c>
      <c r="B80" s="52" t="s">
        <v>1237</v>
      </c>
      <c r="C80" s="52" t="s">
        <v>1238</v>
      </c>
      <c r="D80" s="52" t="s">
        <v>467</v>
      </c>
      <c r="E80" s="52" t="s">
        <v>1487</v>
      </c>
      <c r="F80" s="52" t="s">
        <v>1488</v>
      </c>
      <c r="G80" s="52" t="s">
        <v>1489</v>
      </c>
      <c r="H80" s="66">
        <v>1135000</v>
      </c>
      <c r="I80" s="52" t="s">
        <v>1490</v>
      </c>
      <c r="J80" s="52" t="s">
        <v>12</v>
      </c>
      <c r="K80" s="52" t="s">
        <v>13</v>
      </c>
      <c r="L80" s="6">
        <f t="shared" si="2"/>
        <v>6.0543484151649306E-2</v>
      </c>
      <c r="M80" s="6">
        <v>5.5E-2</v>
      </c>
      <c r="N80" s="6">
        <f t="shared" si="3"/>
        <v>7.4999999999999997E-2</v>
      </c>
    </row>
    <row r="81" spans="1:14" x14ac:dyDescent="0.35">
      <c r="A81" s="10" t="s">
        <v>289</v>
      </c>
      <c r="B81" s="10" t="s">
        <v>1237</v>
      </c>
      <c r="C81" s="10" t="s">
        <v>1238</v>
      </c>
      <c r="D81" s="10" t="s">
        <v>467</v>
      </c>
      <c r="E81" s="10" t="s">
        <v>1491</v>
      </c>
      <c r="F81" s="10" t="s">
        <v>1492</v>
      </c>
      <c r="G81" s="10" t="s">
        <v>1493</v>
      </c>
      <c r="H81" s="66">
        <v>1145000</v>
      </c>
      <c r="I81" s="10" t="s">
        <v>1494</v>
      </c>
      <c r="J81" s="10" t="s">
        <v>12</v>
      </c>
      <c r="K81" s="10" t="s">
        <v>13</v>
      </c>
      <c r="L81" s="6">
        <f t="shared" si="2"/>
        <v>6.2677557642136603E-2</v>
      </c>
      <c r="M81" s="6">
        <v>5.5E-2</v>
      </c>
      <c r="N81" s="6">
        <f t="shared" si="3"/>
        <v>7.4999999999999997E-2</v>
      </c>
    </row>
    <row r="82" spans="1:14" x14ac:dyDescent="0.35">
      <c r="A82" s="52" t="s">
        <v>1453</v>
      </c>
      <c r="B82" s="52" t="s">
        <v>1237</v>
      </c>
      <c r="C82" s="52" t="s">
        <v>1238</v>
      </c>
      <c r="D82" s="52" t="s">
        <v>467</v>
      </c>
      <c r="E82" s="52" t="s">
        <v>1491</v>
      </c>
      <c r="F82" s="52" t="s">
        <v>1495</v>
      </c>
      <c r="G82" s="52" t="s">
        <v>1493</v>
      </c>
      <c r="H82" s="66">
        <v>1145000</v>
      </c>
      <c r="I82" s="52" t="s">
        <v>1494</v>
      </c>
      <c r="J82" s="52" t="s">
        <v>12</v>
      </c>
      <c r="K82" s="52" t="s">
        <v>13</v>
      </c>
      <c r="L82" s="6">
        <f t="shared" si="2"/>
        <v>6.2677557642136603E-2</v>
      </c>
      <c r="M82" s="6">
        <v>5.5E-2</v>
      </c>
      <c r="N82" s="6">
        <f t="shared" si="3"/>
        <v>7.4999999999999997E-2</v>
      </c>
    </row>
    <row r="83" spans="1:14" x14ac:dyDescent="0.35">
      <c r="A83" s="10" t="s">
        <v>289</v>
      </c>
      <c r="B83" s="10" t="s">
        <v>1237</v>
      </c>
      <c r="C83" s="10" t="s">
        <v>1238</v>
      </c>
      <c r="D83" s="10" t="s">
        <v>467</v>
      </c>
      <c r="E83" s="10" t="s">
        <v>1496</v>
      </c>
      <c r="F83" s="10" t="s">
        <v>1497</v>
      </c>
      <c r="G83" s="10" t="s">
        <v>1498</v>
      </c>
      <c r="H83" s="66">
        <v>1175000</v>
      </c>
      <c r="I83" s="10" t="s">
        <v>1499</v>
      </c>
      <c r="J83" s="10" t="s">
        <v>12</v>
      </c>
      <c r="K83" s="10" t="s">
        <v>13</v>
      </c>
      <c r="L83" s="6">
        <f t="shared" si="2"/>
        <v>5.9786383142992693E-2</v>
      </c>
      <c r="M83" s="6">
        <v>5.5E-2</v>
      </c>
      <c r="N83" s="6">
        <f t="shared" si="3"/>
        <v>7.4999999999999997E-2</v>
      </c>
    </row>
    <row r="84" spans="1:14" ht="43.5" x14ac:dyDescent="0.35">
      <c r="A84" s="10" t="s">
        <v>289</v>
      </c>
      <c r="B84" s="10" t="s">
        <v>1237</v>
      </c>
      <c r="C84" s="10" t="s">
        <v>1238</v>
      </c>
      <c r="D84" s="10" t="s">
        <v>467</v>
      </c>
      <c r="E84" s="14" t="s">
        <v>1500</v>
      </c>
      <c r="F84" s="14" t="s">
        <v>1501</v>
      </c>
      <c r="G84" s="14" t="s">
        <v>1502</v>
      </c>
      <c r="H84" s="4">
        <v>1190000</v>
      </c>
      <c r="I84" s="10" t="s">
        <v>1503</v>
      </c>
      <c r="J84" s="10" t="s">
        <v>12</v>
      </c>
      <c r="K84" s="10" t="s">
        <v>13</v>
      </c>
      <c r="L84" s="6">
        <f t="shared" si="2"/>
        <v>6.1484008163614823E-2</v>
      </c>
      <c r="M84" s="6">
        <v>5.5E-2</v>
      </c>
      <c r="N84" s="6">
        <f t="shared" si="3"/>
        <v>7.4999999999999997E-2</v>
      </c>
    </row>
    <row r="85" spans="1:14" x14ac:dyDescent="0.35">
      <c r="A85" s="10" t="s">
        <v>15</v>
      </c>
      <c r="B85" s="10" t="s">
        <v>1237</v>
      </c>
      <c r="C85" s="10" t="s">
        <v>1238</v>
      </c>
      <c r="D85" s="10" t="s">
        <v>467</v>
      </c>
      <c r="E85" s="10" t="s">
        <v>1504</v>
      </c>
      <c r="F85" s="10" t="s">
        <v>1505</v>
      </c>
      <c r="G85" s="10" t="s">
        <v>1506</v>
      </c>
      <c r="H85" s="66">
        <v>1250000</v>
      </c>
      <c r="I85" s="10" t="s">
        <v>1507</v>
      </c>
      <c r="J85" s="10" t="s">
        <v>12</v>
      </c>
      <c r="K85" s="10" t="s">
        <v>13</v>
      </c>
      <c r="L85" s="6">
        <f t="shared" si="2"/>
        <v>6.1327763485230564E-2</v>
      </c>
      <c r="M85" s="6">
        <v>5.5E-2</v>
      </c>
      <c r="N85" s="6">
        <f t="shared" si="3"/>
        <v>7.4999999999999997E-2</v>
      </c>
    </row>
    <row r="86" spans="1:14" x14ac:dyDescent="0.35">
      <c r="A86" s="52" t="s">
        <v>289</v>
      </c>
      <c r="B86" s="52" t="s">
        <v>1237</v>
      </c>
      <c r="C86" s="52" t="s">
        <v>1238</v>
      </c>
      <c r="D86" s="52" t="s">
        <v>467</v>
      </c>
      <c r="E86" s="52" t="s">
        <v>1504</v>
      </c>
      <c r="F86" s="52" t="s">
        <v>1508</v>
      </c>
      <c r="G86" s="52" t="s">
        <v>1506</v>
      </c>
      <c r="H86" s="66">
        <v>1250000</v>
      </c>
      <c r="I86" s="52" t="s">
        <v>1507</v>
      </c>
      <c r="J86" s="52" t="s">
        <v>12</v>
      </c>
      <c r="K86" s="52" t="s">
        <v>13</v>
      </c>
      <c r="L86" s="6">
        <f t="shared" si="2"/>
        <v>6.1327763485230564E-2</v>
      </c>
      <c r="M86" s="6">
        <v>5.5E-2</v>
      </c>
      <c r="N86" s="6">
        <f t="shared" si="3"/>
        <v>7.4999999999999997E-2</v>
      </c>
    </row>
    <row r="87" spans="1:14" x14ac:dyDescent="0.35">
      <c r="A87" s="52" t="s">
        <v>289</v>
      </c>
      <c r="B87" s="52" t="s">
        <v>1237</v>
      </c>
      <c r="C87" s="52" t="s">
        <v>1238</v>
      </c>
      <c r="D87" s="52" t="s">
        <v>467</v>
      </c>
      <c r="E87" s="52" t="s">
        <v>1509</v>
      </c>
      <c r="F87" s="52" t="s">
        <v>1510</v>
      </c>
      <c r="G87" s="52" t="s">
        <v>1511</v>
      </c>
      <c r="H87" s="66">
        <v>1275000</v>
      </c>
      <c r="I87" s="52" t="s">
        <v>1512</v>
      </c>
      <c r="J87" s="52" t="s">
        <v>12</v>
      </c>
      <c r="K87" s="52" t="s">
        <v>13</v>
      </c>
      <c r="L87" s="6">
        <f t="shared" si="2"/>
        <v>6.2016782364024366E-2</v>
      </c>
      <c r="M87" s="6">
        <v>5.5E-2</v>
      </c>
      <c r="N87" s="6">
        <f t="shared" si="3"/>
        <v>7.4999999999999997E-2</v>
      </c>
    </row>
    <row r="88" spans="1:14" x14ac:dyDescent="0.35">
      <c r="A88" s="52" t="s">
        <v>289</v>
      </c>
      <c r="B88" s="52" t="s">
        <v>1237</v>
      </c>
      <c r="C88" s="52" t="s">
        <v>1238</v>
      </c>
      <c r="D88" s="52" t="s">
        <v>467</v>
      </c>
      <c r="E88" s="52" t="s">
        <v>1513</v>
      </c>
      <c r="F88" s="52" t="s">
        <v>1514</v>
      </c>
      <c r="G88" s="52" t="s">
        <v>1515</v>
      </c>
      <c r="H88" s="66">
        <v>1280000</v>
      </c>
      <c r="I88" s="52" t="s">
        <v>1516</v>
      </c>
      <c r="J88" s="52" t="s">
        <v>12</v>
      </c>
      <c r="K88" s="52" t="s">
        <v>13</v>
      </c>
      <c r="L88" s="6">
        <f t="shared" si="2"/>
        <v>5.9430754612662187E-2</v>
      </c>
      <c r="M88" s="6">
        <v>5.5E-2</v>
      </c>
      <c r="N88" s="6">
        <f t="shared" si="3"/>
        <v>7.4999999999999997E-2</v>
      </c>
    </row>
    <row r="89" spans="1:14" x14ac:dyDescent="0.35">
      <c r="A89" s="52" t="s">
        <v>289</v>
      </c>
      <c r="B89" s="52" t="s">
        <v>1237</v>
      </c>
      <c r="C89" s="52" t="s">
        <v>1238</v>
      </c>
      <c r="D89" s="52" t="s">
        <v>467</v>
      </c>
      <c r="E89" s="52" t="s">
        <v>1517</v>
      </c>
      <c r="F89" s="52" t="s">
        <v>1518</v>
      </c>
      <c r="G89" s="52" t="s">
        <v>1519</v>
      </c>
      <c r="H89" s="66">
        <v>1300000</v>
      </c>
      <c r="I89" s="52" t="s">
        <v>1520</v>
      </c>
      <c r="J89" s="52" t="s">
        <v>12</v>
      </c>
      <c r="K89" s="52" t="s">
        <v>13</v>
      </c>
      <c r="L89" s="6">
        <f t="shared" si="2"/>
        <v>6.4414256928313332E-2</v>
      </c>
      <c r="M89" s="6">
        <v>5.5E-2</v>
      </c>
      <c r="N89" s="6">
        <f t="shared" si="3"/>
        <v>7.4999999999999997E-2</v>
      </c>
    </row>
    <row r="90" spans="1:14" x14ac:dyDescent="0.35">
      <c r="A90" s="52" t="s">
        <v>18</v>
      </c>
      <c r="B90" s="52" t="s">
        <v>1237</v>
      </c>
      <c r="C90" s="52" t="s">
        <v>1238</v>
      </c>
      <c r="D90" s="52" t="s">
        <v>467</v>
      </c>
      <c r="E90" s="52" t="s">
        <v>1521</v>
      </c>
      <c r="F90" s="52" t="s">
        <v>1522</v>
      </c>
      <c r="G90" s="52" t="s">
        <v>1523</v>
      </c>
      <c r="H90" s="66">
        <v>1300000</v>
      </c>
      <c r="I90" s="52" t="s">
        <v>1524</v>
      </c>
      <c r="J90" s="52" t="s">
        <v>12</v>
      </c>
      <c r="K90" s="52" t="s">
        <v>13</v>
      </c>
      <c r="L90" s="6">
        <f t="shared" si="2"/>
        <v>9.5676124880107752E-2</v>
      </c>
      <c r="M90" s="6">
        <v>5.5E-2</v>
      </c>
      <c r="N90" s="6">
        <f t="shared" si="3"/>
        <v>7.4999999999999997E-2</v>
      </c>
    </row>
    <row r="91" spans="1:14" x14ac:dyDescent="0.35">
      <c r="A91" s="10" t="s">
        <v>14</v>
      </c>
      <c r="B91" s="10" t="s">
        <v>1237</v>
      </c>
      <c r="C91" s="10" t="s">
        <v>1238</v>
      </c>
      <c r="D91" s="10" t="s">
        <v>467</v>
      </c>
      <c r="E91" s="10" t="s">
        <v>1521</v>
      </c>
      <c r="F91" s="10" t="s">
        <v>1525</v>
      </c>
      <c r="G91" s="10" t="s">
        <v>1523</v>
      </c>
      <c r="H91" s="66">
        <v>1300000</v>
      </c>
      <c r="I91" s="10" t="s">
        <v>1524</v>
      </c>
      <c r="J91" s="10" t="s">
        <v>12</v>
      </c>
      <c r="K91" s="10" t="s">
        <v>13</v>
      </c>
      <c r="L91" s="6">
        <f t="shared" si="2"/>
        <v>9.5676124880107752E-2</v>
      </c>
      <c r="M91" s="6">
        <v>5.5E-2</v>
      </c>
      <c r="N91" s="6">
        <f t="shared" si="3"/>
        <v>7.4999999999999997E-2</v>
      </c>
    </row>
    <row r="92" spans="1:14" x14ac:dyDescent="0.35">
      <c r="A92" s="52" t="s">
        <v>16</v>
      </c>
      <c r="B92" s="52" t="s">
        <v>1237</v>
      </c>
      <c r="C92" s="52" t="s">
        <v>1238</v>
      </c>
      <c r="D92" s="52" t="s">
        <v>467</v>
      </c>
      <c r="E92" s="52" t="s">
        <v>1526</v>
      </c>
      <c r="F92" s="52" t="s">
        <v>1527</v>
      </c>
      <c r="G92" s="52" t="s">
        <v>1528</v>
      </c>
      <c r="H92" s="66">
        <v>1320000</v>
      </c>
      <c r="I92" s="52" t="s">
        <v>1529</v>
      </c>
      <c r="J92" s="52" t="s">
        <v>12</v>
      </c>
      <c r="K92" s="52" t="s">
        <v>13</v>
      </c>
      <c r="L92" s="6">
        <f t="shared" si="2"/>
        <v>5.9102747408808845E-2</v>
      </c>
      <c r="M92" s="6">
        <v>5.5E-2</v>
      </c>
      <c r="N92" s="6">
        <f t="shared" si="3"/>
        <v>7.4999999999999997E-2</v>
      </c>
    </row>
    <row r="93" spans="1:14" x14ac:dyDescent="0.35">
      <c r="A93" s="10" t="s">
        <v>16</v>
      </c>
      <c r="B93" s="10" t="s">
        <v>1237</v>
      </c>
      <c r="C93" s="10" t="s">
        <v>1238</v>
      </c>
      <c r="D93" s="10" t="s">
        <v>467</v>
      </c>
      <c r="E93" s="10" t="s">
        <v>1526</v>
      </c>
      <c r="F93" s="10" t="s">
        <v>1530</v>
      </c>
      <c r="G93" s="10" t="s">
        <v>1528</v>
      </c>
      <c r="H93" s="66">
        <v>1350000</v>
      </c>
      <c r="I93" s="10" t="s">
        <v>1531</v>
      </c>
      <c r="J93" s="10" t="s">
        <v>12</v>
      </c>
      <c r="K93" s="10" t="s">
        <v>13</v>
      </c>
      <c r="L93" s="6">
        <f t="shared" si="2"/>
        <v>6.0688677659067942E-2</v>
      </c>
      <c r="M93" s="6">
        <v>5.5E-2</v>
      </c>
      <c r="N93" s="6">
        <f t="shared" si="3"/>
        <v>7.4999999999999997E-2</v>
      </c>
    </row>
    <row r="94" spans="1:14" x14ac:dyDescent="0.35">
      <c r="A94" s="52" t="s">
        <v>289</v>
      </c>
      <c r="B94" s="52" t="s">
        <v>1237</v>
      </c>
      <c r="C94" s="52" t="s">
        <v>1238</v>
      </c>
      <c r="D94" s="52" t="s">
        <v>467</v>
      </c>
      <c r="E94" s="52" t="s">
        <v>1532</v>
      </c>
      <c r="F94" s="52" t="s">
        <v>1533</v>
      </c>
      <c r="G94" s="52" t="s">
        <v>1534</v>
      </c>
      <c r="H94" s="66">
        <v>1362000</v>
      </c>
      <c r="I94" s="52" t="s">
        <v>1535</v>
      </c>
      <c r="J94" s="52" t="s">
        <v>12</v>
      </c>
      <c r="K94" s="52" t="s">
        <v>13</v>
      </c>
      <c r="L94" s="6">
        <f t="shared" si="2"/>
        <v>6.0584941406964819E-2</v>
      </c>
      <c r="M94" s="6">
        <v>5.5E-2</v>
      </c>
      <c r="N94" s="6">
        <f t="shared" si="3"/>
        <v>7.4999999999999997E-2</v>
      </c>
    </row>
    <row r="95" spans="1:14" x14ac:dyDescent="0.35">
      <c r="A95" s="52" t="s">
        <v>289</v>
      </c>
      <c r="B95" s="52" t="s">
        <v>1237</v>
      </c>
      <c r="C95" s="52" t="s">
        <v>1238</v>
      </c>
      <c r="D95" s="52" t="s">
        <v>467</v>
      </c>
      <c r="E95" s="52" t="s">
        <v>1536</v>
      </c>
      <c r="F95" s="52" t="s">
        <v>1537</v>
      </c>
      <c r="G95" s="52" t="s">
        <v>1538</v>
      </c>
      <c r="H95" s="66">
        <v>1365000</v>
      </c>
      <c r="I95" s="52" t="s">
        <v>1539</v>
      </c>
      <c r="J95" s="52" t="s">
        <v>12</v>
      </c>
      <c r="K95" s="52" t="s">
        <v>13</v>
      </c>
      <c r="L95" s="6">
        <f t="shared" si="2"/>
        <v>6.0602764249372963E-2</v>
      </c>
      <c r="M95" s="6">
        <v>5.5E-2</v>
      </c>
      <c r="N95" s="6">
        <f t="shared" si="3"/>
        <v>7.4999999999999997E-2</v>
      </c>
    </row>
    <row r="96" spans="1:14" x14ac:dyDescent="0.35">
      <c r="A96" s="52" t="s">
        <v>17</v>
      </c>
      <c r="B96" s="52" t="s">
        <v>1237</v>
      </c>
      <c r="C96" s="52" t="s">
        <v>1238</v>
      </c>
      <c r="D96" s="52" t="s">
        <v>467</v>
      </c>
      <c r="E96" s="52" t="s">
        <v>1540</v>
      </c>
      <c r="F96" s="52" t="s">
        <v>1541</v>
      </c>
      <c r="G96" s="52" t="s">
        <v>1542</v>
      </c>
      <c r="H96" s="66">
        <v>1375000</v>
      </c>
      <c r="I96" s="52" t="s">
        <v>1543</v>
      </c>
      <c r="J96" s="52" t="s">
        <v>12</v>
      </c>
      <c r="K96" s="52" t="s">
        <v>13</v>
      </c>
      <c r="L96" s="6">
        <f t="shared" si="2"/>
        <v>6.1674403377591641E-2</v>
      </c>
      <c r="M96" s="6">
        <v>5.5E-2</v>
      </c>
      <c r="N96" s="6">
        <f t="shared" si="3"/>
        <v>7.4999999999999997E-2</v>
      </c>
    </row>
    <row r="97" spans="1:14" x14ac:dyDescent="0.35">
      <c r="A97" s="10" t="s">
        <v>15</v>
      </c>
      <c r="B97" s="10" t="s">
        <v>1237</v>
      </c>
      <c r="C97" s="10" t="s">
        <v>1238</v>
      </c>
      <c r="D97" s="10" t="s">
        <v>467</v>
      </c>
      <c r="E97" s="10" t="s">
        <v>1544</v>
      </c>
      <c r="F97" s="10" t="s">
        <v>1545</v>
      </c>
      <c r="G97" s="10" t="s">
        <v>1546</v>
      </c>
      <c r="H97" s="66">
        <v>1390000</v>
      </c>
      <c r="I97" s="10" t="s">
        <v>1547</v>
      </c>
      <c r="J97" s="10" t="s">
        <v>12</v>
      </c>
      <c r="K97" s="10" t="s">
        <v>13</v>
      </c>
      <c r="L97" s="6">
        <f t="shared" si="2"/>
        <v>6.2752881665907187E-2</v>
      </c>
      <c r="M97" s="6">
        <v>5.5E-2</v>
      </c>
      <c r="N97" s="6">
        <f t="shared" si="3"/>
        <v>7.4999999999999997E-2</v>
      </c>
    </row>
    <row r="98" spans="1:14" x14ac:dyDescent="0.35">
      <c r="A98" s="10" t="s">
        <v>289</v>
      </c>
      <c r="B98" s="10" t="s">
        <v>1237</v>
      </c>
      <c r="C98" s="10" t="s">
        <v>1238</v>
      </c>
      <c r="D98" s="10" t="s">
        <v>467</v>
      </c>
      <c r="E98" s="10" t="s">
        <v>1544</v>
      </c>
      <c r="F98" s="10" t="s">
        <v>1548</v>
      </c>
      <c r="G98" s="10" t="s">
        <v>1546</v>
      </c>
      <c r="H98" s="66">
        <v>1390000</v>
      </c>
      <c r="I98" s="10" t="s">
        <v>1547</v>
      </c>
      <c r="J98" s="10" t="s">
        <v>12</v>
      </c>
      <c r="K98" s="10" t="s">
        <v>13</v>
      </c>
      <c r="L98" s="6">
        <f t="shared" si="2"/>
        <v>6.2752881665907187E-2</v>
      </c>
      <c r="M98" s="6">
        <v>5.5E-2</v>
      </c>
      <c r="N98" s="6">
        <f t="shared" si="3"/>
        <v>7.4999999999999997E-2</v>
      </c>
    </row>
    <row r="99" spans="1:14" x14ac:dyDescent="0.35">
      <c r="A99" s="10" t="s">
        <v>551</v>
      </c>
      <c r="B99" s="10" t="s">
        <v>1237</v>
      </c>
      <c r="C99" s="10" t="s">
        <v>1238</v>
      </c>
      <c r="D99" s="10" t="s">
        <v>467</v>
      </c>
      <c r="E99" s="10" t="s">
        <v>1532</v>
      </c>
      <c r="F99" s="10" t="s">
        <v>1549</v>
      </c>
      <c r="G99" s="10" t="s">
        <v>1534</v>
      </c>
      <c r="H99" s="66">
        <v>1400000</v>
      </c>
      <c r="I99" s="10" t="s">
        <v>1535</v>
      </c>
      <c r="J99" s="10" t="s">
        <v>12</v>
      </c>
      <c r="K99" s="10" t="s">
        <v>13</v>
      </c>
      <c r="L99" s="6">
        <f t="shared" si="2"/>
        <v>9.0175417011564424E-2</v>
      </c>
      <c r="M99" s="6">
        <v>5.5E-2</v>
      </c>
      <c r="N99" s="6">
        <f t="shared" si="3"/>
        <v>7.4999999999999997E-2</v>
      </c>
    </row>
    <row r="100" spans="1:14" x14ac:dyDescent="0.35">
      <c r="A100" s="52" t="s">
        <v>289</v>
      </c>
      <c r="B100" s="52" t="s">
        <v>1237</v>
      </c>
      <c r="C100" s="52" t="s">
        <v>1238</v>
      </c>
      <c r="D100" s="52" t="s">
        <v>467</v>
      </c>
      <c r="E100" s="52" t="s">
        <v>1550</v>
      </c>
      <c r="F100" s="52" t="s">
        <v>1551</v>
      </c>
      <c r="G100" s="52" t="s">
        <v>1552</v>
      </c>
      <c r="H100" s="66">
        <v>1485000</v>
      </c>
      <c r="I100" s="52" t="s">
        <v>1553</v>
      </c>
      <c r="J100" s="52" t="s">
        <v>12</v>
      </c>
      <c r="K100" s="52" t="s">
        <v>13</v>
      </c>
      <c r="L100" s="6">
        <f t="shared" si="2"/>
        <v>6.1570366388323153E-2</v>
      </c>
      <c r="M100" s="6">
        <v>5.5E-2</v>
      </c>
      <c r="N100" s="6">
        <f t="shared" si="3"/>
        <v>7.4999999999999997E-2</v>
      </c>
    </row>
    <row r="101" spans="1:14" x14ac:dyDescent="0.35">
      <c r="A101" s="52" t="s">
        <v>668</v>
      </c>
      <c r="B101" s="52" t="s">
        <v>1237</v>
      </c>
      <c r="C101" s="52" t="s">
        <v>1238</v>
      </c>
      <c r="D101" s="52" t="s">
        <v>467</v>
      </c>
      <c r="E101" s="52" t="s">
        <v>1550</v>
      </c>
      <c r="F101" s="52" t="s">
        <v>1554</v>
      </c>
      <c r="G101" s="52" t="s">
        <v>1552</v>
      </c>
      <c r="H101" s="66">
        <v>1485000</v>
      </c>
      <c r="I101" s="52" t="s">
        <v>1553</v>
      </c>
      <c r="J101" s="52" t="s">
        <v>12</v>
      </c>
      <c r="K101" s="52" t="s">
        <v>13</v>
      </c>
      <c r="L101" s="6">
        <f t="shared" si="2"/>
        <v>6.1570366388323153E-2</v>
      </c>
      <c r="M101" s="6">
        <v>5.5E-2</v>
      </c>
      <c r="N101" s="6">
        <f t="shared" si="3"/>
        <v>7.4999999999999997E-2</v>
      </c>
    </row>
    <row r="102" spans="1:14" x14ac:dyDescent="0.35">
      <c r="A102" s="10" t="s">
        <v>668</v>
      </c>
      <c r="B102" s="10" t="s">
        <v>1237</v>
      </c>
      <c r="C102" s="10" t="s">
        <v>1238</v>
      </c>
      <c r="D102" s="10" t="s">
        <v>467</v>
      </c>
      <c r="E102" s="10" t="s">
        <v>1555</v>
      </c>
      <c r="F102" s="10" t="s">
        <v>1556</v>
      </c>
      <c r="G102" s="10" t="s">
        <v>1557</v>
      </c>
      <c r="H102" s="66">
        <v>1485000</v>
      </c>
      <c r="I102" s="10" t="s">
        <v>1558</v>
      </c>
      <c r="J102" s="10" t="s">
        <v>12</v>
      </c>
      <c r="K102" s="10" t="s">
        <v>13</v>
      </c>
      <c r="L102" s="6">
        <f t="shared" si="2"/>
        <v>6.0284113302602943E-2</v>
      </c>
      <c r="M102" s="6">
        <v>5.5E-2</v>
      </c>
      <c r="N102" s="6">
        <f t="shared" si="3"/>
        <v>7.4999999999999997E-2</v>
      </c>
    </row>
    <row r="103" spans="1:14" x14ac:dyDescent="0.35">
      <c r="A103" s="52" t="s">
        <v>289</v>
      </c>
      <c r="B103" s="52" t="s">
        <v>1237</v>
      </c>
      <c r="C103" s="52" t="s">
        <v>1238</v>
      </c>
      <c r="D103" s="52" t="s">
        <v>467</v>
      </c>
      <c r="E103" s="52" t="s">
        <v>1559</v>
      </c>
      <c r="F103" s="52" t="s">
        <v>1560</v>
      </c>
      <c r="G103" s="52" t="s">
        <v>1561</v>
      </c>
      <c r="H103" s="66">
        <v>1500000</v>
      </c>
      <c r="I103" s="52" t="s">
        <v>1562</v>
      </c>
      <c r="J103" s="52" t="s">
        <v>12</v>
      </c>
      <c r="K103" s="52" t="s">
        <v>13</v>
      </c>
      <c r="L103" s="6">
        <f t="shared" si="2"/>
        <v>7.0404041845662013E-2</v>
      </c>
      <c r="M103" s="6">
        <v>5.5E-2</v>
      </c>
      <c r="N103" s="6">
        <f t="shared" si="3"/>
        <v>7.4999999999999997E-2</v>
      </c>
    </row>
    <row r="104" spans="1:14" ht="43.5" x14ac:dyDescent="0.35">
      <c r="A104" s="10" t="s">
        <v>289</v>
      </c>
      <c r="B104" s="10" t="s">
        <v>1237</v>
      </c>
      <c r="C104" s="10" t="s">
        <v>1238</v>
      </c>
      <c r="D104" s="10" t="s">
        <v>467</v>
      </c>
      <c r="E104" s="14" t="s">
        <v>1563</v>
      </c>
      <c r="F104" s="14" t="s">
        <v>1564</v>
      </c>
      <c r="G104" s="14" t="s">
        <v>1565</v>
      </c>
      <c r="H104" s="4">
        <v>1490000</v>
      </c>
      <c r="I104" s="10" t="s">
        <v>1562</v>
      </c>
      <c r="J104" s="10" t="s">
        <v>12</v>
      </c>
      <c r="K104" s="10" t="s">
        <v>13</v>
      </c>
      <c r="L104" s="6">
        <f t="shared" si="2"/>
        <v>6.3268014900024261E-2</v>
      </c>
      <c r="M104" s="6">
        <v>5.5E-2</v>
      </c>
      <c r="N104" s="6">
        <f t="shared" si="3"/>
        <v>7.4999999999999997E-2</v>
      </c>
    </row>
    <row r="105" spans="1:14" x14ac:dyDescent="0.35">
      <c r="A105" s="10" t="s">
        <v>289</v>
      </c>
      <c r="B105" s="10" t="s">
        <v>1237</v>
      </c>
      <c r="C105" s="10" t="s">
        <v>1238</v>
      </c>
      <c r="D105" s="10" t="s">
        <v>467</v>
      </c>
      <c r="E105" s="10" t="s">
        <v>1566</v>
      </c>
      <c r="F105" s="10" t="s">
        <v>1567</v>
      </c>
      <c r="G105" s="10" t="s">
        <v>1568</v>
      </c>
      <c r="H105" s="66">
        <v>1575000</v>
      </c>
      <c r="I105" s="10" t="s">
        <v>1569</v>
      </c>
      <c r="J105" s="10" t="s">
        <v>12</v>
      </c>
      <c r="K105" s="10" t="s">
        <v>13</v>
      </c>
      <c r="L105" s="6">
        <f t="shared" si="2"/>
        <v>5.984382948828721E-2</v>
      </c>
      <c r="M105" s="6">
        <v>5.5E-2</v>
      </c>
      <c r="N105" s="6">
        <f t="shared" si="3"/>
        <v>7.4999999999999997E-2</v>
      </c>
    </row>
    <row r="106" spans="1:14" x14ac:dyDescent="0.35">
      <c r="A106" s="52" t="s">
        <v>1453</v>
      </c>
      <c r="B106" s="52" t="s">
        <v>1237</v>
      </c>
      <c r="C106" s="52" t="s">
        <v>1238</v>
      </c>
      <c r="D106" s="52" t="s">
        <v>467</v>
      </c>
      <c r="E106" s="52" t="s">
        <v>1566</v>
      </c>
      <c r="F106" s="52" t="s">
        <v>1570</v>
      </c>
      <c r="G106" s="52" t="s">
        <v>1568</v>
      </c>
      <c r="H106" s="66">
        <v>1575000</v>
      </c>
      <c r="I106" s="52" t="s">
        <v>1569</v>
      </c>
      <c r="J106" s="52" t="s">
        <v>12</v>
      </c>
      <c r="K106" s="52" t="s">
        <v>13</v>
      </c>
      <c r="L106" s="6">
        <f t="shared" si="2"/>
        <v>5.984382948828721E-2</v>
      </c>
      <c r="M106" s="6">
        <v>5.5E-2</v>
      </c>
      <c r="N106" s="6">
        <f t="shared" si="3"/>
        <v>7.4999999999999997E-2</v>
      </c>
    </row>
    <row r="107" spans="1:14" x14ac:dyDescent="0.35">
      <c r="A107" s="10" t="s">
        <v>18</v>
      </c>
      <c r="B107" s="10" t="s">
        <v>1237</v>
      </c>
      <c r="C107" s="10" t="s">
        <v>1238</v>
      </c>
      <c r="D107" s="10" t="s">
        <v>467</v>
      </c>
      <c r="E107" s="10" t="s">
        <v>1571</v>
      </c>
      <c r="F107" s="10" t="s">
        <v>1572</v>
      </c>
      <c r="G107" s="10" t="s">
        <v>1573</v>
      </c>
      <c r="H107" s="66">
        <v>1600000</v>
      </c>
      <c r="I107" s="10" t="s">
        <v>1574</v>
      </c>
      <c r="J107" s="10" t="s">
        <v>12</v>
      </c>
      <c r="K107" s="10" t="s">
        <v>13</v>
      </c>
      <c r="L107" s="6">
        <f t="shared" si="2"/>
        <v>8.0327771445856677E-2</v>
      </c>
      <c r="M107" s="6">
        <v>5.5E-2</v>
      </c>
      <c r="N107" s="6">
        <f t="shared" si="3"/>
        <v>7.4999999999999997E-2</v>
      </c>
    </row>
    <row r="108" spans="1:14" x14ac:dyDescent="0.35">
      <c r="A108" s="52" t="s">
        <v>14</v>
      </c>
      <c r="B108" s="52" t="s">
        <v>1237</v>
      </c>
      <c r="C108" s="52" t="s">
        <v>1238</v>
      </c>
      <c r="D108" s="52" t="s">
        <v>467</v>
      </c>
      <c r="E108" s="52" t="s">
        <v>1571</v>
      </c>
      <c r="F108" s="52" t="s">
        <v>1575</v>
      </c>
      <c r="G108" s="52" t="s">
        <v>1573</v>
      </c>
      <c r="H108" s="66">
        <v>1600000</v>
      </c>
      <c r="I108" s="52" t="s">
        <v>1574</v>
      </c>
      <c r="J108" s="52" t="s">
        <v>12</v>
      </c>
      <c r="K108" s="52" t="s">
        <v>13</v>
      </c>
      <c r="L108" s="6">
        <f t="shared" si="2"/>
        <v>8.0327771445856677E-2</v>
      </c>
      <c r="M108" s="6">
        <v>5.5E-2</v>
      </c>
      <c r="N108" s="6">
        <f t="shared" si="3"/>
        <v>7.4999999999999997E-2</v>
      </c>
    </row>
    <row r="109" spans="1:14" x14ac:dyDescent="0.35">
      <c r="A109" s="10" t="s">
        <v>289</v>
      </c>
      <c r="B109" s="10" t="s">
        <v>1237</v>
      </c>
      <c r="C109" s="10" t="s">
        <v>1238</v>
      </c>
      <c r="D109" s="10" t="s">
        <v>467</v>
      </c>
      <c r="E109" s="10" t="s">
        <v>1576</v>
      </c>
      <c r="F109" s="10" t="s">
        <v>1577</v>
      </c>
      <c r="G109" s="10" t="s">
        <v>1578</v>
      </c>
      <c r="H109" s="66">
        <v>1730000</v>
      </c>
      <c r="I109" s="10" t="s">
        <v>1579</v>
      </c>
      <c r="J109" s="10" t="s">
        <v>12</v>
      </c>
      <c r="K109" s="10" t="s">
        <v>13</v>
      </c>
      <c r="L109" s="6">
        <f t="shared" si="2"/>
        <v>6.2367741357055043E-2</v>
      </c>
      <c r="M109" s="6">
        <v>5.5E-2</v>
      </c>
      <c r="N109" s="6">
        <f t="shared" si="3"/>
        <v>7.4999999999999997E-2</v>
      </c>
    </row>
    <row r="110" spans="1:14" x14ac:dyDescent="0.35">
      <c r="A110" s="10" t="s">
        <v>289</v>
      </c>
      <c r="B110" s="10" t="s">
        <v>1237</v>
      </c>
      <c r="C110" s="10" t="s">
        <v>1238</v>
      </c>
      <c r="D110" s="10" t="s">
        <v>467</v>
      </c>
      <c r="E110" s="10" t="s">
        <v>1580</v>
      </c>
      <c r="F110" s="10" t="s">
        <v>1581</v>
      </c>
      <c r="G110" s="10" t="s">
        <v>1582</v>
      </c>
      <c r="H110" s="66">
        <v>1730000</v>
      </c>
      <c r="I110" s="10" t="s">
        <v>1579</v>
      </c>
      <c r="J110" s="10" t="s">
        <v>12</v>
      </c>
      <c r="K110" s="10" t="s">
        <v>13</v>
      </c>
      <c r="L110" s="6">
        <f t="shared" si="2"/>
        <v>6.2367741357055043E-2</v>
      </c>
      <c r="M110" s="6">
        <v>5.5E-2</v>
      </c>
      <c r="N110" s="6">
        <f t="shared" si="3"/>
        <v>7.4999999999999997E-2</v>
      </c>
    </row>
    <row r="111" spans="1:14" x14ac:dyDescent="0.35">
      <c r="A111" s="10" t="s">
        <v>289</v>
      </c>
      <c r="B111" s="10" t="s">
        <v>1237</v>
      </c>
      <c r="C111" s="10" t="s">
        <v>1238</v>
      </c>
      <c r="D111" s="10" t="s">
        <v>467</v>
      </c>
      <c r="E111" s="10" t="s">
        <v>1583</v>
      </c>
      <c r="F111" s="10" t="s">
        <v>1584</v>
      </c>
      <c r="G111" s="10" t="s">
        <v>1585</v>
      </c>
      <c r="H111" s="66">
        <v>1790000</v>
      </c>
      <c r="I111" s="10" t="s">
        <v>1586</v>
      </c>
      <c r="J111" s="10" t="s">
        <v>12</v>
      </c>
      <c r="K111" s="10" t="s">
        <v>13</v>
      </c>
      <c r="L111" s="6">
        <f t="shared" si="2"/>
        <v>5.9927972268968267E-2</v>
      </c>
      <c r="M111" s="6">
        <v>5.5E-2</v>
      </c>
      <c r="N111" s="6">
        <f t="shared" si="3"/>
        <v>7.4999999999999997E-2</v>
      </c>
    </row>
    <row r="112" spans="1:14" x14ac:dyDescent="0.35">
      <c r="A112" s="52" t="s">
        <v>289</v>
      </c>
      <c r="B112" s="52" t="s">
        <v>1237</v>
      </c>
      <c r="C112" s="52" t="s">
        <v>1238</v>
      </c>
      <c r="D112" s="52" t="s">
        <v>467</v>
      </c>
      <c r="E112" s="52" t="s">
        <v>1587</v>
      </c>
      <c r="F112" s="52" t="s">
        <v>1588</v>
      </c>
      <c r="G112" s="52" t="s">
        <v>1589</v>
      </c>
      <c r="H112" s="66">
        <v>1800000</v>
      </c>
      <c r="I112" s="52" t="s">
        <v>1590</v>
      </c>
      <c r="J112" s="52" t="s">
        <v>12</v>
      </c>
      <c r="K112" s="52" t="s">
        <v>13</v>
      </c>
      <c r="L112" s="6">
        <f t="shared" si="2"/>
        <v>6.2508559096726063E-2</v>
      </c>
      <c r="M112" s="6">
        <v>5.5E-2</v>
      </c>
      <c r="N112" s="6">
        <f t="shared" si="3"/>
        <v>7.4999999999999997E-2</v>
      </c>
    </row>
    <row r="113" spans="1:14" x14ac:dyDescent="0.35">
      <c r="A113" s="52" t="s">
        <v>15</v>
      </c>
      <c r="B113" s="52" t="s">
        <v>1237</v>
      </c>
      <c r="C113" s="52" t="s">
        <v>1238</v>
      </c>
      <c r="D113" s="52" t="s">
        <v>467</v>
      </c>
      <c r="E113" s="52" t="s">
        <v>1591</v>
      </c>
      <c r="F113" s="52" t="s">
        <v>1592</v>
      </c>
      <c r="G113" s="52" t="s">
        <v>1593</v>
      </c>
      <c r="H113" s="66">
        <v>1815000</v>
      </c>
      <c r="I113" s="52" t="s">
        <v>1594</v>
      </c>
      <c r="J113" s="52" t="s">
        <v>12</v>
      </c>
      <c r="K113" s="52" t="s">
        <v>13</v>
      </c>
      <c r="L113" s="6">
        <f t="shared" si="2"/>
        <v>5.9949332669916013E-2</v>
      </c>
      <c r="M113" s="6">
        <v>5.5E-2</v>
      </c>
      <c r="N113" s="6">
        <f t="shared" si="3"/>
        <v>7.4999999999999997E-2</v>
      </c>
    </row>
    <row r="114" spans="1:14" x14ac:dyDescent="0.35">
      <c r="A114" s="52" t="s">
        <v>289</v>
      </c>
      <c r="B114" s="52" t="s">
        <v>1237</v>
      </c>
      <c r="C114" s="52" t="s">
        <v>1238</v>
      </c>
      <c r="D114" s="52" t="s">
        <v>467</v>
      </c>
      <c r="E114" s="52" t="s">
        <v>1591</v>
      </c>
      <c r="F114" s="52" t="s">
        <v>1595</v>
      </c>
      <c r="G114" s="52" t="s">
        <v>1593</v>
      </c>
      <c r="H114" s="66">
        <v>1815000</v>
      </c>
      <c r="I114" s="52" t="s">
        <v>1594</v>
      </c>
      <c r="J114" s="52" t="s">
        <v>12</v>
      </c>
      <c r="K114" s="52" t="s">
        <v>13</v>
      </c>
      <c r="L114" s="6">
        <f t="shared" si="2"/>
        <v>5.9949332669916013E-2</v>
      </c>
      <c r="M114" s="6">
        <v>5.5E-2</v>
      </c>
      <c r="N114" s="6">
        <f t="shared" si="3"/>
        <v>7.4999999999999997E-2</v>
      </c>
    </row>
    <row r="115" spans="1:14" x14ac:dyDescent="0.35">
      <c r="A115" s="10" t="s">
        <v>289</v>
      </c>
      <c r="B115" s="10" t="s">
        <v>1237</v>
      </c>
      <c r="C115" s="10" t="s">
        <v>1238</v>
      </c>
      <c r="D115" s="10" t="s">
        <v>467</v>
      </c>
      <c r="E115" s="10" t="s">
        <v>1596</v>
      </c>
      <c r="F115" s="10" t="s">
        <v>1597</v>
      </c>
      <c r="G115" s="10" t="s">
        <v>1598</v>
      </c>
      <c r="H115" s="66">
        <v>1817000</v>
      </c>
      <c r="I115" s="10" t="s">
        <v>1599</v>
      </c>
      <c r="J115" s="10" t="s">
        <v>12</v>
      </c>
      <c r="K115" s="10" t="s">
        <v>13</v>
      </c>
      <c r="L115" s="6">
        <f t="shared" si="2"/>
        <v>6.0387832326830558E-2</v>
      </c>
      <c r="M115" s="6">
        <v>5.5E-2</v>
      </c>
      <c r="N115" s="6">
        <f t="shared" si="3"/>
        <v>7.4999999999999997E-2</v>
      </c>
    </row>
    <row r="116" spans="1:14" x14ac:dyDescent="0.35">
      <c r="A116" s="52" t="s">
        <v>289</v>
      </c>
      <c r="B116" s="52" t="s">
        <v>1237</v>
      </c>
      <c r="C116" s="52" t="s">
        <v>1238</v>
      </c>
      <c r="D116" s="52" t="s">
        <v>467</v>
      </c>
      <c r="E116" s="52" t="s">
        <v>1600</v>
      </c>
      <c r="F116" s="52" t="s">
        <v>1601</v>
      </c>
      <c r="G116" s="52" t="s">
        <v>1602</v>
      </c>
      <c r="H116" s="66">
        <v>1820000</v>
      </c>
      <c r="I116" s="52" t="s">
        <v>1603</v>
      </c>
      <c r="J116" s="52" t="s">
        <v>12</v>
      </c>
      <c r="K116" s="52" t="s">
        <v>13</v>
      </c>
      <c r="L116" s="6">
        <f t="shared" si="2"/>
        <v>6.2921445433000323E-2</v>
      </c>
      <c r="M116" s="6">
        <v>5.5E-2</v>
      </c>
      <c r="N116" s="6">
        <f t="shared" si="3"/>
        <v>7.4999999999999997E-2</v>
      </c>
    </row>
    <row r="117" spans="1:14" x14ac:dyDescent="0.35">
      <c r="A117" s="10" t="s">
        <v>551</v>
      </c>
      <c r="B117" s="10" t="s">
        <v>1237</v>
      </c>
      <c r="C117" s="10" t="s">
        <v>1238</v>
      </c>
      <c r="D117" s="10" t="s">
        <v>467</v>
      </c>
      <c r="E117" s="10" t="s">
        <v>1600</v>
      </c>
      <c r="F117" s="10" t="s">
        <v>1604</v>
      </c>
      <c r="G117" s="10" t="s">
        <v>1602</v>
      </c>
      <c r="H117" s="66">
        <v>1820000</v>
      </c>
      <c r="I117" s="10" t="s">
        <v>1603</v>
      </c>
      <c r="J117" s="10" t="s">
        <v>12</v>
      </c>
      <c r="K117" s="10" t="s">
        <v>13</v>
      </c>
      <c r="L117" s="6">
        <f t="shared" si="2"/>
        <v>6.2921445433000323E-2</v>
      </c>
      <c r="M117" s="6">
        <v>5.5E-2</v>
      </c>
      <c r="N117" s="6">
        <f t="shared" si="3"/>
        <v>7.4999999999999997E-2</v>
      </c>
    </row>
    <row r="118" spans="1:14" x14ac:dyDescent="0.35">
      <c r="A118" s="10" t="s">
        <v>289</v>
      </c>
      <c r="B118" s="10" t="s">
        <v>1237</v>
      </c>
      <c r="C118" s="10" t="s">
        <v>1238</v>
      </c>
      <c r="D118" s="10" t="s">
        <v>467</v>
      </c>
      <c r="E118" s="10" t="s">
        <v>1605</v>
      </c>
      <c r="F118" s="10" t="s">
        <v>1606</v>
      </c>
      <c r="G118" s="10" t="s">
        <v>1607</v>
      </c>
      <c r="H118" s="66">
        <v>1870000</v>
      </c>
      <c r="I118" s="10" t="s">
        <v>1608</v>
      </c>
      <c r="J118" s="10" t="s">
        <v>12</v>
      </c>
      <c r="K118" s="10" t="s">
        <v>13</v>
      </c>
      <c r="L118" s="6">
        <f t="shared" si="2"/>
        <v>6.0342564361943116E-2</v>
      </c>
      <c r="M118" s="6">
        <v>5.5E-2</v>
      </c>
      <c r="N118" s="6">
        <f t="shared" si="3"/>
        <v>7.4999999999999997E-2</v>
      </c>
    </row>
    <row r="119" spans="1:14" x14ac:dyDescent="0.35">
      <c r="A119" s="10" t="s">
        <v>668</v>
      </c>
      <c r="B119" s="10" t="s">
        <v>1237</v>
      </c>
      <c r="C119" s="10" t="s">
        <v>1238</v>
      </c>
      <c r="D119" s="10" t="s">
        <v>467</v>
      </c>
      <c r="E119" s="10" t="s">
        <v>1605</v>
      </c>
      <c r="F119" s="10" t="s">
        <v>1609</v>
      </c>
      <c r="G119" s="10" t="s">
        <v>1607</v>
      </c>
      <c r="H119" s="66">
        <v>1870000</v>
      </c>
      <c r="I119" s="10" t="s">
        <v>1608</v>
      </c>
      <c r="J119" s="10" t="s">
        <v>12</v>
      </c>
      <c r="K119" s="10" t="s">
        <v>13</v>
      </c>
      <c r="L119" s="6">
        <f t="shared" si="2"/>
        <v>6.0342564361943116E-2</v>
      </c>
      <c r="M119" s="6">
        <v>5.5E-2</v>
      </c>
      <c r="N119" s="6">
        <f t="shared" si="3"/>
        <v>7.4999999999999997E-2</v>
      </c>
    </row>
    <row r="120" spans="1:14" x14ac:dyDescent="0.35">
      <c r="A120" s="10" t="s">
        <v>289</v>
      </c>
      <c r="B120" s="10" t="s">
        <v>1237</v>
      </c>
      <c r="C120" s="10" t="s">
        <v>1238</v>
      </c>
      <c r="D120" s="10" t="s">
        <v>467</v>
      </c>
      <c r="E120" s="10" t="s">
        <v>1610</v>
      </c>
      <c r="F120" s="10" t="s">
        <v>1611</v>
      </c>
      <c r="G120" s="10" t="s">
        <v>1612</v>
      </c>
      <c r="H120" s="66">
        <v>1910000</v>
      </c>
      <c r="I120" s="10" t="s">
        <v>1613</v>
      </c>
      <c r="J120" s="10" t="s">
        <v>12</v>
      </c>
      <c r="K120" s="10" t="s">
        <v>13</v>
      </c>
      <c r="L120" s="6">
        <f t="shared" si="2"/>
        <v>6.0628525132175974E-2</v>
      </c>
      <c r="M120" s="6">
        <v>5.5E-2</v>
      </c>
      <c r="N120" s="6">
        <f t="shared" si="3"/>
        <v>7.4999999999999997E-2</v>
      </c>
    </row>
    <row r="121" spans="1:14" x14ac:dyDescent="0.35">
      <c r="A121" s="52" t="s">
        <v>289</v>
      </c>
      <c r="B121" s="52" t="s">
        <v>1237</v>
      </c>
      <c r="C121" s="52" t="s">
        <v>1238</v>
      </c>
      <c r="D121" s="52" t="s">
        <v>467</v>
      </c>
      <c r="E121" s="52" t="s">
        <v>1614</v>
      </c>
      <c r="F121" s="52" t="s">
        <v>1615</v>
      </c>
      <c r="G121" s="52" t="s">
        <v>1616</v>
      </c>
      <c r="H121" s="66">
        <v>2135000</v>
      </c>
      <c r="I121" s="52" t="s">
        <v>1617</v>
      </c>
      <c r="J121" s="52" t="s">
        <v>12</v>
      </c>
      <c r="K121" s="52" t="s">
        <v>13</v>
      </c>
      <c r="L121" s="6">
        <f t="shared" si="2"/>
        <v>6.0257908356967732E-2</v>
      </c>
      <c r="M121" s="6">
        <v>5.5E-2</v>
      </c>
      <c r="N121" s="6">
        <f t="shared" si="3"/>
        <v>7.4999999999999997E-2</v>
      </c>
    </row>
    <row r="122" spans="1:14" x14ac:dyDescent="0.35">
      <c r="A122" s="52" t="s">
        <v>289</v>
      </c>
      <c r="B122" s="52" t="s">
        <v>1237</v>
      </c>
      <c r="C122" s="52" t="s">
        <v>1238</v>
      </c>
      <c r="D122" s="52" t="s">
        <v>467</v>
      </c>
      <c r="E122" s="52" t="s">
        <v>1618</v>
      </c>
      <c r="F122" s="52" t="s">
        <v>1619</v>
      </c>
      <c r="G122" s="52" t="s">
        <v>1620</v>
      </c>
      <c r="H122" s="66">
        <v>2160000</v>
      </c>
      <c r="I122" s="52" t="s">
        <v>1621</v>
      </c>
      <c r="J122" s="52" t="s">
        <v>12</v>
      </c>
      <c r="K122" s="52" t="s">
        <v>13</v>
      </c>
      <c r="L122" s="6">
        <f t="shared" si="2"/>
        <v>6.1138788601993857E-2</v>
      </c>
      <c r="M122" s="6">
        <v>5.5E-2</v>
      </c>
      <c r="N122" s="6">
        <f t="shared" si="3"/>
        <v>7.4999999999999997E-2</v>
      </c>
    </row>
    <row r="123" spans="1:14" x14ac:dyDescent="0.35">
      <c r="A123" s="52" t="s">
        <v>289</v>
      </c>
      <c r="B123" s="52" t="s">
        <v>1237</v>
      </c>
      <c r="C123" s="52" t="s">
        <v>1238</v>
      </c>
      <c r="D123" s="52" t="s">
        <v>467</v>
      </c>
      <c r="E123" s="52" t="s">
        <v>1622</v>
      </c>
      <c r="F123" s="52" t="s">
        <v>1623</v>
      </c>
      <c r="G123" s="52" t="s">
        <v>1624</v>
      </c>
      <c r="H123" s="66">
        <v>2180000</v>
      </c>
      <c r="I123" s="52" t="s">
        <v>1625</v>
      </c>
      <c r="J123" s="52" t="s">
        <v>12</v>
      </c>
      <c r="K123" s="52" t="s">
        <v>13</v>
      </c>
      <c r="L123" s="6">
        <f t="shared" si="2"/>
        <v>6.125743427871249E-2</v>
      </c>
      <c r="M123" s="6">
        <v>5.5E-2</v>
      </c>
      <c r="N123" s="6">
        <f t="shared" si="3"/>
        <v>7.4999999999999997E-2</v>
      </c>
    </row>
    <row r="124" spans="1:14" x14ac:dyDescent="0.35">
      <c r="A124" s="52" t="s">
        <v>668</v>
      </c>
      <c r="B124" s="52" t="s">
        <v>1237</v>
      </c>
      <c r="C124" s="52" t="s">
        <v>1238</v>
      </c>
      <c r="D124" s="52" t="s">
        <v>467</v>
      </c>
      <c r="E124" s="52" t="s">
        <v>1622</v>
      </c>
      <c r="F124" s="52" t="s">
        <v>1626</v>
      </c>
      <c r="G124" s="52" t="s">
        <v>1624</v>
      </c>
      <c r="H124" s="66">
        <v>2180000</v>
      </c>
      <c r="I124" s="52" t="s">
        <v>1625</v>
      </c>
      <c r="J124" s="52" t="s">
        <v>12</v>
      </c>
      <c r="K124" s="52" t="s">
        <v>13</v>
      </c>
      <c r="L124" s="6">
        <f t="shared" si="2"/>
        <v>6.125743427871249E-2</v>
      </c>
      <c r="M124" s="6">
        <v>5.5E-2</v>
      </c>
      <c r="N124" s="6">
        <f t="shared" si="3"/>
        <v>7.4999999999999997E-2</v>
      </c>
    </row>
    <row r="125" spans="1:14" x14ac:dyDescent="0.35">
      <c r="A125" s="10" t="s">
        <v>289</v>
      </c>
      <c r="B125" s="10" t="s">
        <v>1237</v>
      </c>
      <c r="C125" s="10" t="s">
        <v>1238</v>
      </c>
      <c r="D125" s="10" t="s">
        <v>467</v>
      </c>
      <c r="E125" s="10" t="s">
        <v>1627</v>
      </c>
      <c r="F125" s="10" t="s">
        <v>1628</v>
      </c>
      <c r="G125" s="10" t="s">
        <v>1629</v>
      </c>
      <c r="H125" s="66">
        <v>2280000</v>
      </c>
      <c r="I125" s="10" t="s">
        <v>1630</v>
      </c>
      <c r="J125" s="10" t="s">
        <v>12</v>
      </c>
      <c r="K125" s="10" t="s">
        <v>13</v>
      </c>
      <c r="L125" s="6">
        <f t="shared" si="2"/>
        <v>6.2822109683241714E-2</v>
      </c>
      <c r="M125" s="6">
        <v>5.5E-2</v>
      </c>
      <c r="N125" s="6">
        <f t="shared" si="3"/>
        <v>7.4999999999999997E-2</v>
      </c>
    </row>
    <row r="126" spans="1:14" x14ac:dyDescent="0.35">
      <c r="A126" s="10" t="s">
        <v>289</v>
      </c>
      <c r="B126" s="10" t="s">
        <v>1237</v>
      </c>
      <c r="C126" s="10" t="s">
        <v>1238</v>
      </c>
      <c r="D126" s="10" t="s">
        <v>467</v>
      </c>
      <c r="E126" s="10" t="s">
        <v>1631</v>
      </c>
      <c r="F126" s="10" t="s">
        <v>1632</v>
      </c>
      <c r="G126" s="10" t="s">
        <v>1633</v>
      </c>
      <c r="H126" s="66">
        <v>2280000</v>
      </c>
      <c r="I126" s="10" t="s">
        <v>1634</v>
      </c>
      <c r="J126" s="10" t="s">
        <v>12</v>
      </c>
      <c r="K126" s="10" t="s">
        <v>13</v>
      </c>
      <c r="L126" s="6">
        <f t="shared" si="2"/>
        <v>6.184502092486701E-2</v>
      </c>
      <c r="M126" s="6">
        <v>5.5E-2</v>
      </c>
      <c r="N126" s="6">
        <f t="shared" si="3"/>
        <v>7.4999999999999997E-2</v>
      </c>
    </row>
    <row r="127" spans="1:14" x14ac:dyDescent="0.35">
      <c r="A127" s="52" t="s">
        <v>1453</v>
      </c>
      <c r="B127" s="52" t="s">
        <v>1237</v>
      </c>
      <c r="C127" s="52" t="s">
        <v>1238</v>
      </c>
      <c r="D127" s="52" t="s">
        <v>467</v>
      </c>
      <c r="E127" s="52" t="s">
        <v>1631</v>
      </c>
      <c r="F127" s="52" t="s">
        <v>1635</v>
      </c>
      <c r="G127" s="52" t="s">
        <v>1633</v>
      </c>
      <c r="H127" s="66">
        <v>2280000</v>
      </c>
      <c r="I127" s="52" t="s">
        <v>1634</v>
      </c>
      <c r="J127" s="52" t="s">
        <v>12</v>
      </c>
      <c r="K127" s="52" t="s">
        <v>13</v>
      </c>
      <c r="L127" s="6">
        <f t="shared" si="2"/>
        <v>6.184502092486701E-2</v>
      </c>
      <c r="M127" s="6">
        <v>5.5E-2</v>
      </c>
      <c r="N127" s="6">
        <f t="shared" si="3"/>
        <v>7.4999999999999997E-2</v>
      </c>
    </row>
    <row r="128" spans="1:14" x14ac:dyDescent="0.35">
      <c r="M128" s="6"/>
    </row>
  </sheetData>
  <autoFilter ref="A1:L1" xr:uid="{567C2CDD-1D3C-4577-A961-442869F70C3E}">
    <sortState xmlns:xlrd2="http://schemas.microsoft.com/office/spreadsheetml/2017/richdata2" ref="A2:L157">
      <sortCondition ref="H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82B6-D00E-4F0C-B922-F6548A040280}">
  <sheetPr filterMode="1"/>
  <dimension ref="A1:M21"/>
  <sheetViews>
    <sheetView topLeftCell="B1" workbookViewId="0">
      <selection activeCell="E41" sqref="E41"/>
    </sheetView>
  </sheetViews>
  <sheetFormatPr defaultRowHeight="14.5" x14ac:dyDescent="0.35"/>
  <cols>
    <col min="1" max="1" width="16.453125" style="10" customWidth="1"/>
    <col min="2" max="2" width="8.7265625" style="10"/>
    <col min="3" max="3" width="15.81640625" style="10" customWidth="1"/>
    <col min="4" max="4" width="10" style="10" customWidth="1"/>
    <col min="5" max="5" width="18.1796875" style="10" customWidth="1"/>
    <col min="6" max="6" width="19.08984375" style="10" customWidth="1"/>
    <col min="7" max="7" width="33.1796875" style="10" customWidth="1"/>
    <col min="8" max="8" width="15.08984375" style="12" hidden="1" customWidth="1"/>
    <col min="9" max="9" width="15.26953125" style="12" hidden="1" customWidth="1"/>
    <col min="10" max="11" width="0" style="10" hidden="1" customWidth="1"/>
    <col min="12" max="12" width="29.7265625" style="10" customWidth="1"/>
    <col min="13" max="13" width="22.81640625" style="10" customWidth="1"/>
    <col min="14" max="16384" width="8.7265625" style="10"/>
  </cols>
  <sheetData>
    <row r="1" spans="1:13" s="14" customFormat="1" ht="29" x14ac:dyDescent="0.35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549</v>
      </c>
      <c r="I1" s="49" t="s">
        <v>550</v>
      </c>
      <c r="J1" s="50" t="s">
        <v>9</v>
      </c>
      <c r="K1" s="49" t="s">
        <v>10</v>
      </c>
      <c r="L1" s="51" t="s">
        <v>547</v>
      </c>
      <c r="M1" s="51" t="s">
        <v>548</v>
      </c>
    </row>
    <row r="2" spans="1:13" hidden="1" x14ac:dyDescent="0.35">
      <c r="A2" s="52" t="s">
        <v>551</v>
      </c>
      <c r="B2" s="52" t="s">
        <v>552</v>
      </c>
      <c r="C2" s="52" t="s">
        <v>553</v>
      </c>
      <c r="D2" s="52" t="s">
        <v>467</v>
      </c>
      <c r="E2" s="52" t="s">
        <v>554</v>
      </c>
      <c r="F2" s="52" t="s">
        <v>555</v>
      </c>
      <c r="G2" s="52" t="s">
        <v>556</v>
      </c>
      <c r="H2" s="12">
        <v>180000</v>
      </c>
      <c r="I2" s="53" t="s">
        <v>557</v>
      </c>
      <c r="J2" s="52" t="s">
        <v>12</v>
      </c>
      <c r="K2" s="52" t="s">
        <v>13</v>
      </c>
      <c r="L2" s="54">
        <f t="shared" ref="L2:L21" si="0">(H2-I2)/I2</f>
        <v>7.3185273513191235E-2</v>
      </c>
    </row>
    <row r="3" spans="1:13" x14ac:dyDescent="0.35">
      <c r="A3" s="10" t="s">
        <v>289</v>
      </c>
      <c r="B3" s="10" t="s">
        <v>552</v>
      </c>
      <c r="C3" s="10" t="s">
        <v>553</v>
      </c>
      <c r="D3" s="10" t="s">
        <v>467</v>
      </c>
      <c r="E3" s="10" t="s">
        <v>554</v>
      </c>
      <c r="F3" s="10" t="s">
        <v>558</v>
      </c>
      <c r="G3" s="10" t="s">
        <v>556</v>
      </c>
      <c r="H3" s="12">
        <v>179000</v>
      </c>
      <c r="I3" s="12" t="s">
        <v>559</v>
      </c>
      <c r="J3" s="10" t="s">
        <v>12</v>
      </c>
      <c r="K3" s="10" t="s">
        <v>13</v>
      </c>
      <c r="L3" s="54">
        <v>0.11</v>
      </c>
      <c r="M3" s="6">
        <f>L3+2%</f>
        <v>0.13</v>
      </c>
    </row>
    <row r="4" spans="1:13" hidden="1" x14ac:dyDescent="0.35">
      <c r="A4" s="52" t="s">
        <v>551</v>
      </c>
      <c r="B4" s="52" t="s">
        <v>552</v>
      </c>
      <c r="C4" s="52" t="s">
        <v>553</v>
      </c>
      <c r="D4" s="52" t="s">
        <v>467</v>
      </c>
      <c r="E4" s="52" t="s">
        <v>560</v>
      </c>
      <c r="F4" s="52" t="s">
        <v>561</v>
      </c>
      <c r="G4" s="52" t="s">
        <v>562</v>
      </c>
      <c r="H4" s="12">
        <v>265000</v>
      </c>
      <c r="I4" s="53" t="s">
        <v>563</v>
      </c>
      <c r="J4" s="52" t="s">
        <v>12</v>
      </c>
      <c r="K4" s="52" t="s">
        <v>13</v>
      </c>
      <c r="L4" s="54">
        <f t="shared" si="0"/>
        <v>5.3313565486293013E-2</v>
      </c>
    </row>
    <row r="5" spans="1:13" x14ac:dyDescent="0.35">
      <c r="A5" s="10" t="s">
        <v>289</v>
      </c>
      <c r="B5" s="10" t="s">
        <v>552</v>
      </c>
      <c r="C5" s="10" t="s">
        <v>553</v>
      </c>
      <c r="D5" s="10" t="s">
        <v>467</v>
      </c>
      <c r="E5" s="10" t="s">
        <v>560</v>
      </c>
      <c r="F5" s="10" t="s">
        <v>564</v>
      </c>
      <c r="G5" s="10" t="s">
        <v>562</v>
      </c>
      <c r="H5" s="12">
        <v>265000</v>
      </c>
      <c r="I5" s="12" t="s">
        <v>565</v>
      </c>
      <c r="J5" s="10" t="s">
        <v>12</v>
      </c>
      <c r="K5" s="10" t="s">
        <v>13</v>
      </c>
      <c r="L5" s="54">
        <v>0.1</v>
      </c>
      <c r="M5" s="6">
        <f>L5+2%</f>
        <v>0.12000000000000001</v>
      </c>
    </row>
    <row r="6" spans="1:13" hidden="1" x14ac:dyDescent="0.35">
      <c r="A6" s="10" t="s">
        <v>15</v>
      </c>
      <c r="B6" s="10" t="s">
        <v>552</v>
      </c>
      <c r="C6" s="10" t="s">
        <v>553</v>
      </c>
      <c r="D6" s="10" t="s">
        <v>467</v>
      </c>
      <c r="E6" s="10" t="s">
        <v>566</v>
      </c>
      <c r="F6" s="10" t="s">
        <v>567</v>
      </c>
      <c r="G6" s="10" t="s">
        <v>568</v>
      </c>
      <c r="H6" s="12">
        <v>45000</v>
      </c>
      <c r="I6" s="12" t="s">
        <v>569</v>
      </c>
      <c r="J6" s="10" t="s">
        <v>12</v>
      </c>
      <c r="K6" s="10" t="s">
        <v>13</v>
      </c>
      <c r="L6" s="54">
        <f t="shared" si="0"/>
        <v>7.6658053402239454E-2</v>
      </c>
    </row>
    <row r="7" spans="1:13" x14ac:dyDescent="0.35">
      <c r="A7" s="52" t="s">
        <v>289</v>
      </c>
      <c r="B7" s="52" t="s">
        <v>552</v>
      </c>
      <c r="C7" s="52" t="s">
        <v>553</v>
      </c>
      <c r="D7" s="52" t="s">
        <v>467</v>
      </c>
      <c r="E7" s="52" t="s">
        <v>570</v>
      </c>
      <c r="F7" s="52" t="s">
        <v>571</v>
      </c>
      <c r="G7" s="52" t="s">
        <v>572</v>
      </c>
      <c r="H7" s="53">
        <v>355000</v>
      </c>
      <c r="I7" s="53" t="s">
        <v>573</v>
      </c>
      <c r="J7" s="52" t="s">
        <v>12</v>
      </c>
      <c r="K7" s="52" t="s">
        <v>13</v>
      </c>
      <c r="L7" s="54">
        <v>0.1</v>
      </c>
      <c r="M7" s="6">
        <f>L7+2%</f>
        <v>0.12000000000000001</v>
      </c>
    </row>
    <row r="8" spans="1:13" hidden="1" x14ac:dyDescent="0.35">
      <c r="A8" s="10" t="s">
        <v>551</v>
      </c>
      <c r="B8" s="10" t="s">
        <v>552</v>
      </c>
      <c r="C8" s="10" t="s">
        <v>553</v>
      </c>
      <c r="D8" s="10" t="s">
        <v>467</v>
      </c>
      <c r="E8" s="10" t="s">
        <v>570</v>
      </c>
      <c r="F8" s="10" t="s">
        <v>574</v>
      </c>
      <c r="G8" s="10" t="s">
        <v>572</v>
      </c>
      <c r="H8" s="12">
        <v>355000</v>
      </c>
      <c r="I8" s="12" t="s">
        <v>575</v>
      </c>
      <c r="J8" s="10" t="s">
        <v>12</v>
      </c>
      <c r="K8" s="10" t="s">
        <v>13</v>
      </c>
      <c r="L8" s="54">
        <f t="shared" si="0"/>
        <v>5.828307730832407E-2</v>
      </c>
    </row>
    <row r="9" spans="1:13" hidden="1" x14ac:dyDescent="0.35">
      <c r="A9" s="10" t="s">
        <v>551</v>
      </c>
      <c r="B9" s="10" t="s">
        <v>552</v>
      </c>
      <c r="C9" s="10" t="s">
        <v>553</v>
      </c>
      <c r="D9" s="10" t="s">
        <v>467</v>
      </c>
      <c r="E9" s="10" t="s">
        <v>576</v>
      </c>
      <c r="F9" s="10" t="s">
        <v>577</v>
      </c>
      <c r="G9" s="10" t="s">
        <v>578</v>
      </c>
      <c r="H9" s="12">
        <v>445000</v>
      </c>
      <c r="I9" s="12" t="s">
        <v>579</v>
      </c>
      <c r="J9" s="10" t="s">
        <v>12</v>
      </c>
      <c r="K9" s="10" t="s">
        <v>13</v>
      </c>
      <c r="L9" s="54">
        <f t="shared" si="0"/>
        <v>6.1262258175296673E-2</v>
      </c>
    </row>
    <row r="10" spans="1:13" x14ac:dyDescent="0.35">
      <c r="A10" s="52" t="s">
        <v>289</v>
      </c>
      <c r="B10" s="52" t="s">
        <v>552</v>
      </c>
      <c r="C10" s="52" t="s">
        <v>553</v>
      </c>
      <c r="D10" s="52" t="s">
        <v>467</v>
      </c>
      <c r="E10" s="52" t="s">
        <v>576</v>
      </c>
      <c r="F10" s="52" t="s">
        <v>580</v>
      </c>
      <c r="G10" s="52" t="s">
        <v>578</v>
      </c>
      <c r="H10" s="53">
        <v>445000</v>
      </c>
      <c r="I10" s="53" t="s">
        <v>581</v>
      </c>
      <c r="J10" s="52" t="s">
        <v>12</v>
      </c>
      <c r="K10" s="52" t="s">
        <v>13</v>
      </c>
      <c r="L10" s="54">
        <v>0.105</v>
      </c>
      <c r="M10" s="6">
        <f>L10+2%</f>
        <v>0.125</v>
      </c>
    </row>
    <row r="11" spans="1:13" hidden="1" x14ac:dyDescent="0.35">
      <c r="A11" s="10" t="s">
        <v>551</v>
      </c>
      <c r="B11" s="10" t="s">
        <v>552</v>
      </c>
      <c r="C11" s="10" t="s">
        <v>553</v>
      </c>
      <c r="D11" s="10" t="s">
        <v>467</v>
      </c>
      <c r="E11" s="10" t="s">
        <v>582</v>
      </c>
      <c r="F11" s="10" t="s">
        <v>583</v>
      </c>
      <c r="G11" s="10" t="s">
        <v>584</v>
      </c>
      <c r="H11" s="12">
        <v>118000</v>
      </c>
      <c r="I11" s="12" t="s">
        <v>585</v>
      </c>
      <c r="J11" s="10" t="s">
        <v>12</v>
      </c>
      <c r="K11" s="10" t="s">
        <v>13</v>
      </c>
      <c r="L11" s="54">
        <f t="shared" si="0"/>
        <v>5.8723251536494547E-2</v>
      </c>
    </row>
    <row r="12" spans="1:13" hidden="1" x14ac:dyDescent="0.35">
      <c r="A12" s="52" t="s">
        <v>15</v>
      </c>
      <c r="B12" s="52" t="s">
        <v>552</v>
      </c>
      <c r="C12" s="52" t="s">
        <v>553</v>
      </c>
      <c r="D12" s="52" t="s">
        <v>467</v>
      </c>
      <c r="E12" s="52" t="s">
        <v>582</v>
      </c>
      <c r="F12" s="52" t="s">
        <v>586</v>
      </c>
      <c r="G12" s="52" t="s">
        <v>584</v>
      </c>
      <c r="H12" s="53">
        <v>118000</v>
      </c>
      <c r="I12" s="53" t="s">
        <v>585</v>
      </c>
      <c r="J12" s="52" t="s">
        <v>12</v>
      </c>
      <c r="K12" s="52" t="s">
        <v>13</v>
      </c>
      <c r="L12" s="54">
        <f t="shared" si="0"/>
        <v>5.8723251536494547E-2</v>
      </c>
    </row>
    <row r="13" spans="1:13" x14ac:dyDescent="0.35">
      <c r="A13" s="10" t="s">
        <v>289</v>
      </c>
      <c r="B13" s="10" t="s">
        <v>552</v>
      </c>
      <c r="C13" s="10" t="s">
        <v>553</v>
      </c>
      <c r="D13" s="10" t="s">
        <v>467</v>
      </c>
      <c r="E13" s="10" t="s">
        <v>587</v>
      </c>
      <c r="F13" s="10" t="s">
        <v>588</v>
      </c>
      <c r="G13" s="10" t="s">
        <v>589</v>
      </c>
      <c r="H13" s="12">
        <v>875000</v>
      </c>
      <c r="I13" s="12" t="s">
        <v>590</v>
      </c>
      <c r="J13" s="10" t="s">
        <v>12</v>
      </c>
      <c r="K13" s="10" t="s">
        <v>13</v>
      </c>
      <c r="L13" s="54">
        <v>8.7499999999999994E-2</v>
      </c>
      <c r="M13" s="6">
        <f t="shared" ref="M13:M15" si="1">L13+2%</f>
        <v>0.1075</v>
      </c>
    </row>
    <row r="14" spans="1:13" x14ac:dyDescent="0.35">
      <c r="A14" s="52" t="s">
        <v>289</v>
      </c>
      <c r="B14" s="52" t="s">
        <v>552</v>
      </c>
      <c r="C14" s="52" t="s">
        <v>553</v>
      </c>
      <c r="D14" s="52" t="s">
        <v>467</v>
      </c>
      <c r="E14" s="52" t="s">
        <v>591</v>
      </c>
      <c r="F14" s="52" t="s">
        <v>592</v>
      </c>
      <c r="G14" s="52" t="s">
        <v>593</v>
      </c>
      <c r="H14" s="53">
        <v>375000</v>
      </c>
      <c r="I14" s="53" t="s">
        <v>594</v>
      </c>
      <c r="J14" s="52" t="s">
        <v>12</v>
      </c>
      <c r="K14" s="52" t="s">
        <v>13</v>
      </c>
      <c r="L14" s="54">
        <v>0.05</v>
      </c>
      <c r="M14" s="6">
        <f t="shared" si="1"/>
        <v>7.0000000000000007E-2</v>
      </c>
    </row>
    <row r="15" spans="1:13" x14ac:dyDescent="0.35">
      <c r="A15" s="10" t="s">
        <v>289</v>
      </c>
      <c r="B15" s="10" t="s">
        <v>552</v>
      </c>
      <c r="C15" s="10" t="s">
        <v>553</v>
      </c>
      <c r="D15" s="10" t="s">
        <v>467</v>
      </c>
      <c r="E15" s="10" t="s">
        <v>595</v>
      </c>
      <c r="F15" s="10" t="s">
        <v>596</v>
      </c>
      <c r="G15" s="10" t="s">
        <v>597</v>
      </c>
      <c r="H15" s="12">
        <v>1125000</v>
      </c>
      <c r="I15" s="12" t="s">
        <v>598</v>
      </c>
      <c r="J15" s="10" t="s">
        <v>12</v>
      </c>
      <c r="K15" s="10" t="s">
        <v>13</v>
      </c>
      <c r="L15" s="54">
        <v>0.05</v>
      </c>
      <c r="M15" s="6">
        <f t="shared" si="1"/>
        <v>7.0000000000000007E-2</v>
      </c>
    </row>
    <row r="16" spans="1:13" hidden="1" x14ac:dyDescent="0.35">
      <c r="A16" s="10" t="s">
        <v>551</v>
      </c>
      <c r="B16" s="10" t="s">
        <v>552</v>
      </c>
      <c r="C16" s="10" t="s">
        <v>553</v>
      </c>
      <c r="D16" s="10" t="s">
        <v>467</v>
      </c>
      <c r="E16" s="10" t="s">
        <v>599</v>
      </c>
      <c r="F16" s="10" t="s">
        <v>600</v>
      </c>
      <c r="G16" s="10" t="s">
        <v>601</v>
      </c>
      <c r="H16" s="12">
        <v>176000</v>
      </c>
      <c r="I16" s="12" t="s">
        <v>602</v>
      </c>
      <c r="J16" s="10" t="s">
        <v>12</v>
      </c>
      <c r="K16" s="10" t="s">
        <v>13</v>
      </c>
      <c r="L16" s="54">
        <f t="shared" si="0"/>
        <v>5.1750926257918009E-2</v>
      </c>
    </row>
    <row r="17" spans="1:13" hidden="1" x14ac:dyDescent="0.35">
      <c r="A17" s="52" t="s">
        <v>15</v>
      </c>
      <c r="B17" s="52" t="s">
        <v>552</v>
      </c>
      <c r="C17" s="52" t="s">
        <v>553</v>
      </c>
      <c r="D17" s="52" t="s">
        <v>467</v>
      </c>
      <c r="E17" s="52" t="s">
        <v>599</v>
      </c>
      <c r="F17" s="52" t="s">
        <v>603</v>
      </c>
      <c r="G17" s="52" t="s">
        <v>601</v>
      </c>
      <c r="H17" s="53">
        <v>176000</v>
      </c>
      <c r="I17" s="53" t="s">
        <v>602</v>
      </c>
      <c r="J17" s="52" t="s">
        <v>12</v>
      </c>
      <c r="K17" s="52" t="s">
        <v>13</v>
      </c>
      <c r="L17" s="54">
        <f t="shared" si="0"/>
        <v>5.1750926257918009E-2</v>
      </c>
    </row>
    <row r="18" spans="1:13" hidden="1" x14ac:dyDescent="0.35">
      <c r="A18" s="10" t="s">
        <v>551</v>
      </c>
      <c r="B18" s="10" t="s">
        <v>552</v>
      </c>
      <c r="C18" s="10" t="s">
        <v>553</v>
      </c>
      <c r="D18" s="10" t="s">
        <v>467</v>
      </c>
      <c r="E18" s="10" t="s">
        <v>604</v>
      </c>
      <c r="F18" s="10" t="s">
        <v>605</v>
      </c>
      <c r="G18" s="10" t="s">
        <v>606</v>
      </c>
      <c r="H18" s="12">
        <v>205000</v>
      </c>
      <c r="I18" s="12" t="s">
        <v>607</v>
      </c>
      <c r="J18" s="10" t="s">
        <v>12</v>
      </c>
      <c r="K18" s="10" t="s">
        <v>13</v>
      </c>
      <c r="L18" s="54">
        <f t="shared" si="0"/>
        <v>5.0188777836406205E-2</v>
      </c>
    </row>
    <row r="19" spans="1:13" hidden="1" x14ac:dyDescent="0.35">
      <c r="A19" s="52" t="s">
        <v>15</v>
      </c>
      <c r="B19" s="52" t="s">
        <v>552</v>
      </c>
      <c r="C19" s="52" t="s">
        <v>553</v>
      </c>
      <c r="D19" s="52" t="s">
        <v>467</v>
      </c>
      <c r="E19" s="52" t="s">
        <v>604</v>
      </c>
      <c r="F19" s="52" t="s">
        <v>608</v>
      </c>
      <c r="G19" s="52" t="s">
        <v>606</v>
      </c>
      <c r="H19" s="12">
        <v>205000</v>
      </c>
      <c r="I19" s="53" t="s">
        <v>607</v>
      </c>
      <c r="J19" s="52" t="s">
        <v>12</v>
      </c>
      <c r="K19" s="52" t="s">
        <v>13</v>
      </c>
      <c r="L19" s="54">
        <f t="shared" si="0"/>
        <v>5.0188777836406205E-2</v>
      </c>
    </row>
    <row r="20" spans="1:13" x14ac:dyDescent="0.35">
      <c r="A20" s="10" t="s">
        <v>289</v>
      </c>
      <c r="B20" s="10" t="s">
        <v>552</v>
      </c>
      <c r="C20" s="10" t="s">
        <v>553</v>
      </c>
      <c r="D20" s="10" t="s">
        <v>467</v>
      </c>
      <c r="E20" s="10" t="s">
        <v>609</v>
      </c>
      <c r="F20" s="10" t="s">
        <v>610</v>
      </c>
      <c r="G20" s="10" t="s">
        <v>611</v>
      </c>
      <c r="H20" s="12">
        <v>1700000</v>
      </c>
      <c r="I20" s="12" t="s">
        <v>612</v>
      </c>
      <c r="J20" s="10" t="s">
        <v>12</v>
      </c>
      <c r="K20" s="10" t="s">
        <v>13</v>
      </c>
      <c r="L20" s="54">
        <v>5.5E-2</v>
      </c>
      <c r="M20" s="6">
        <f>L20+2%</f>
        <v>7.4999999999999997E-2</v>
      </c>
    </row>
    <row r="21" spans="1:13" hidden="1" x14ac:dyDescent="0.35">
      <c r="A21" s="10" t="s">
        <v>551</v>
      </c>
      <c r="B21" s="10" t="s">
        <v>552</v>
      </c>
      <c r="C21" s="10" t="s">
        <v>553</v>
      </c>
      <c r="D21" s="10" t="s">
        <v>467</v>
      </c>
      <c r="E21" s="10" t="s">
        <v>609</v>
      </c>
      <c r="F21" s="10" t="s">
        <v>613</v>
      </c>
      <c r="G21" s="10" t="s">
        <v>611</v>
      </c>
      <c r="H21" s="12">
        <v>1775000</v>
      </c>
      <c r="I21" s="12" t="s">
        <v>614</v>
      </c>
      <c r="J21" s="10" t="s">
        <v>12</v>
      </c>
      <c r="K21" s="10" t="s">
        <v>13</v>
      </c>
      <c r="L21" s="54">
        <f t="shared" si="0"/>
        <v>5.828307730832407E-2</v>
      </c>
    </row>
  </sheetData>
  <autoFilter ref="A1:L21" xr:uid="{3367E72F-BD77-4C1E-8941-FD3B06105D20}">
    <filterColumn colId="0">
      <filters>
        <filter val="Indonesi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singapore ML</vt:lpstr>
      <vt:lpstr>indonesia ML</vt:lpstr>
      <vt:lpstr>ML GLOBAL</vt:lpstr>
      <vt:lpstr>malaysia ml</vt:lpstr>
      <vt:lpstr>phillipines ML</vt:lpstr>
      <vt:lpstr>thailand ML</vt:lpstr>
      <vt:lpstr>brazil ml</vt:lpstr>
      <vt:lpstr>Honor of kings</vt:lpstr>
      <vt:lpstr>CALL OF DUTY</vt:lpstr>
      <vt:lpstr>STEAM</vt:lpstr>
      <vt:lpstr>FREE FIRE</vt:lpstr>
      <vt:lpstr>valorant indo only</vt:lpstr>
      <vt:lpstr>NINTENDO E-SHOP</vt:lpstr>
      <vt:lpstr>PLAYSTATION</vt:lpstr>
      <vt:lpstr>XBOX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2026-06-26T04:22:51Z</dcterms:created>
  <dcterms:modified xsi:type="dcterms:W3CDTF">2026-08-18T19:52:41Z</dcterms:modified>
</cp:coreProperties>
</file>